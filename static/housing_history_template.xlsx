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26"/>
  <workbookPr autoCompressPictures="0"/>
  <mc:AlternateContent xmlns:mc="http://schemas.openxmlformats.org/markup-compatibility/2006">
    <mc:Choice Requires="x15">
      <x15ac:absPath xmlns:x15ac="http://schemas.microsoft.com/office/spreadsheetml/2010/11/ac" url="/Users/peterwann/Library/CloudStorage/Dropbox-TeamHouse/TeamHouse Team Folder/Accounts/1 Pickups for Pete/"/>
    </mc:Choice>
  </mc:AlternateContent>
  <xr:revisionPtr revIDLastSave="0" documentId="13_ncr:1_{D8A6A3EC-7EBC-8140-8156-F67EBFFF2903}" xr6:coauthVersionLast="47" xr6:coauthVersionMax="47" xr10:uidLastSave="{00000000-0000-0000-0000-000000000000}"/>
  <bookViews>
    <workbookView xWindow="-20900" yWindow="-21600" windowWidth="38400" windowHeight="17900" xr2:uid="{00000000-000D-0000-FFFF-FFFF00000000}"/>
  </bookViews>
  <sheets>
    <sheet name="Client History" sheetId="1" r:id="rId1"/>
  </sheets>
  <definedNames>
    <definedName name="_xlnm._FilterDatabase" localSheetId="0" hidden="1">'Client History'!$D$37:$N$39</definedName>
  </definedNames>
  <calcPr calcId="191029"/>
  <customWorkbookViews>
    <customWorkbookView name="Maile - Personal View" guid="{CD0FB1B9-9E03-104C-B368-D7ADDBCA5E98}" mergeInterval="0" personalView="1" xWindow="86" yWindow="54" windowWidth="1268" windowHeight="6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R33" i="1" l="1"/>
  <c r="Q32" i="1"/>
  <c r="Q31" i="1"/>
  <c r="Q30" i="1"/>
  <c r="P21" i="1"/>
  <c r="P20" i="1"/>
  <c r="P17" i="1"/>
  <c r="P14" i="1"/>
  <c r="P13" i="1"/>
  <c r="P12" i="1"/>
  <c r="P11" i="1"/>
  <c r="P10" i="1"/>
  <c r="P9" i="1"/>
  <c r="P8" i="1"/>
  <c r="D15" i="1"/>
  <c r="E15" i="1"/>
  <c r="F15" i="1"/>
  <c r="G15" i="1"/>
  <c r="H15" i="1"/>
  <c r="I15" i="1"/>
  <c r="J15" i="1"/>
  <c r="K15" i="1"/>
  <c r="L15" i="1"/>
  <c r="C15" i="1"/>
  <c r="M9" i="1"/>
  <c r="O9" i="1" s="1"/>
  <c r="M10" i="1"/>
  <c r="O10" i="1" s="1"/>
  <c r="M11" i="1"/>
  <c r="O11" i="1" s="1"/>
  <c r="I26" i="1"/>
  <c r="M26" i="1"/>
  <c r="M20" i="1"/>
  <c r="O20" i="1" s="1"/>
  <c r="M12" i="1"/>
  <c r="O12" i="1" s="1"/>
  <c r="M13" i="1"/>
  <c r="O13" i="1" s="1"/>
  <c r="M14" i="1"/>
  <c r="O14" i="1" s="1"/>
  <c r="M7" i="1"/>
  <c r="M8" i="1"/>
  <c r="E26" i="1"/>
  <c r="M16" i="1"/>
  <c r="M17" i="1"/>
  <c r="O17" i="1" s="1"/>
  <c r="Q26" i="1" s="1"/>
  <c r="D18" i="1"/>
  <c r="E18" i="1"/>
  <c r="F18" i="1"/>
  <c r="G18" i="1"/>
  <c r="H18" i="1"/>
  <c r="I18" i="1"/>
  <c r="J18" i="1"/>
  <c r="K18" i="1"/>
  <c r="L18" i="1"/>
  <c r="C18" i="1"/>
  <c r="M21" i="1"/>
  <c r="O21" i="1" s="1"/>
  <c r="D19" i="1" l="1"/>
  <c r="M15" i="1"/>
  <c r="C19" i="1"/>
  <c r="Q9" i="1"/>
  <c r="F19" i="1"/>
  <c r="E19" i="1"/>
  <c r="Q12" i="1"/>
  <c r="Q11" i="1"/>
  <c r="Q13" i="1"/>
  <c r="Q10" i="1"/>
  <c r="Q14" i="1"/>
  <c r="Q21" i="1"/>
  <c r="Q29" i="1" s="1"/>
  <c r="L19" i="1"/>
  <c r="H19" i="1"/>
  <c r="I19" i="1"/>
  <c r="Q20" i="1"/>
  <c r="Q28" i="1" s="1"/>
  <c r="Q17" i="1"/>
  <c r="Q27" i="1" s="1"/>
  <c r="G19" i="1"/>
  <c r="M18" i="1"/>
  <c r="J19" i="1"/>
  <c r="K19" i="1"/>
  <c r="O8" i="1"/>
  <c r="Q8" i="1" l="1"/>
  <c r="Q25" i="1" s="1"/>
  <c r="Q33" i="1" s="1"/>
  <c r="Q24" i="1"/>
  <c r="M19" i="1"/>
  <c r="S33" i="1" l="1"/>
</calcChain>
</file>

<file path=xl/sharedStrings.xml><?xml version="1.0" encoding="utf-8"?>
<sst xmlns="http://schemas.openxmlformats.org/spreadsheetml/2006/main" count="99" uniqueCount="90">
  <si>
    <t>Rate</t>
  </si>
  <si>
    <t>ORGANIZATION</t>
  </si>
  <si>
    <t>HOTEL</t>
  </si>
  <si>
    <t>NAME &amp; DATE OF EVENT</t>
  </si>
  <si>
    <t>Revenue</t>
  </si>
  <si>
    <t>Commission</t>
  </si>
  <si>
    <t>%</t>
  </si>
  <si>
    <t>Total
Room Nights</t>
  </si>
  <si>
    <t>Total RNS Eligible for Rebate</t>
  </si>
  <si>
    <t>FINAL TOTAL PICKUP (ALL)</t>
  </si>
  <si>
    <t>*See Below Audit Detail</t>
  </si>
  <si>
    <t>ROOM REVENUE/COMMISSION</t>
  </si>
  <si>
    <t>TOTAL ROOMS COMMISSION DUE</t>
  </si>
  <si>
    <t>Total Food &amp; Beverage Revenue</t>
  </si>
  <si>
    <t>Total Meeting Room Revenue</t>
  </si>
  <si>
    <t>REBATE INFORMATION (IF APPLICABLE)</t>
  </si>
  <si>
    <t>Rebate Per Room Night</t>
  </si>
  <si>
    <t>Total Rebate Amount</t>
  </si>
  <si>
    <t>Commission Check Generated By:</t>
  </si>
  <si>
    <t>AUDIT DETAIL</t>
  </si>
  <si>
    <t>Last Name</t>
  </si>
  <si>
    <t>Comm Due</t>
  </si>
  <si>
    <t>First Name</t>
  </si>
  <si>
    <t>Total RNS Eligible for Earned Comps</t>
  </si>
  <si>
    <t>Total Comp Amount</t>
  </si>
  <si>
    <t>Room Rate</t>
  </si>
  <si>
    <t>Commissionable Cancellations</t>
  </si>
  <si>
    <t>History Report Approved By:</t>
  </si>
  <si>
    <t>Name</t>
  </si>
  <si>
    <t>Email</t>
  </si>
  <si>
    <t>Date</t>
  </si>
  <si>
    <t>HOTEL ACCOUNTING INFORMATION</t>
  </si>
  <si>
    <t>Group's Total Spend</t>
  </si>
  <si>
    <t>DATE</t>
  </si>
  <si>
    <t>DAY</t>
  </si>
  <si>
    <t>Total Actualized Pickup Revenue (Inside Block)</t>
  </si>
  <si>
    <t>Total Actualized Pickup Commission (Inside Block)</t>
  </si>
  <si>
    <t>Checkin</t>
  </si>
  <si>
    <t>#ofnights</t>
  </si>
  <si>
    <t>Checkout</t>
  </si>
  <si>
    <t>Comm Y/N?</t>
  </si>
  <si>
    <t>Commissionable No Shows</t>
  </si>
  <si>
    <t>Total Commissionable No Show Commission</t>
  </si>
  <si>
    <t>Total Commissionable Cancellation Commission</t>
  </si>
  <si>
    <t>Less Rebate Commission</t>
  </si>
  <si>
    <t>Total Food &amp; Beverage Commission</t>
  </si>
  <si>
    <t>Less Earned Comp Commission</t>
  </si>
  <si>
    <t>HOUSING FEE (IF APPLICABLE)</t>
  </si>
  <si>
    <t>Total Audit Pickup</t>
  </si>
  <si>
    <t>Housing Fee per reservation or per room night</t>
  </si>
  <si>
    <t>Total RNS Eligible for Housing Fee</t>
  </si>
  <si>
    <t>Total Housing Fee Amount</t>
  </si>
  <si>
    <t>Total Commissionable Audit Pickup Commission</t>
  </si>
  <si>
    <t>Total Commissionable Audit Pickup Revenue</t>
  </si>
  <si>
    <t>NOTES TO COLLECTIONS</t>
  </si>
  <si>
    <t>Non-Commissionable Audit Pickup*</t>
  </si>
  <si>
    <t>Commissionable Audit Pickup*</t>
  </si>
  <si>
    <t>FOOD &amp; BEVERAGE REVENUE (IF APPLICABLE)</t>
  </si>
  <si>
    <t>INTERNET INFORMATION (IF APPLICABLE)</t>
  </si>
  <si>
    <t>MEETING ROOM REVENUE (IF APPLICABLE)</t>
  </si>
  <si>
    <t>NOTE: By submitting this form you acknowledge that the information in this Client History Report and the below Audit Detail is approved by your property as final. These numbers cannot be altered or modified after the approval date. ConferenceDirect reports this information back to the client in addition to our Accounts Receivable Department for final invoicing. In addition, by signing above your property has committed to pay commissions, housing fees, comps, and rebates (if applicable) based on the information you have provided.</t>
  </si>
  <si>
    <t xml:space="preserve">Total Pickup Inside Block </t>
  </si>
  <si>
    <t>Less Housing Fee Commission</t>
  </si>
  <si>
    <t xml:space="preserve">Contracted Block </t>
  </si>
  <si>
    <t>Sun</t>
  </si>
  <si>
    <t>Mon</t>
  </si>
  <si>
    <t>Wed</t>
  </si>
  <si>
    <t>Tue</t>
  </si>
  <si>
    <t>Thu</t>
  </si>
  <si>
    <t>Comm %</t>
  </si>
  <si>
    <t>Total Commissionable Revenue</t>
  </si>
  <si>
    <t>Avg Rate</t>
  </si>
  <si>
    <t>Rate 1</t>
  </si>
  <si>
    <t>Rate 2</t>
  </si>
  <si>
    <t>Rate 3</t>
  </si>
  <si>
    <t>Rate 4</t>
  </si>
  <si>
    <t>Rate 5</t>
  </si>
  <si>
    <t>Rate 6</t>
  </si>
  <si>
    <t>Rate 7</t>
  </si>
  <si>
    <t>Fri</t>
  </si>
  <si>
    <t>Sat</t>
  </si>
  <si>
    <t xml:space="preserve">POST EVENT HISTORY REPORT 
Please fill out this form and email back </t>
  </si>
  <si>
    <t>Static information</t>
  </si>
  <si>
    <t>Hotel To Fill In</t>
  </si>
  <si>
    <t>Calculated Field</t>
  </si>
  <si>
    <t>EARNED COMPS</t>
  </si>
  <si>
    <t>1 per ?</t>
  </si>
  <si>
    <t>Booking #:</t>
  </si>
  <si>
    <t>Currency</t>
  </si>
  <si>
    <t>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</si>
</sst>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409]* #,##0.00_);_([$$-409]* \(#,##0.00\);_([$$-409]* &quot;-&quot;??_);_(@_)"/>
    <numFmt numFmtId="165" formatCode="&quot;$&quot;#,##0.00"/>
  </numFmts>
  <fonts count="14" x14ac:knownFonts="1">
    <font>
      <sz val="10"/>
      <name val="Arial"/>
    </font>
    <font>
      <sz val="8"/>
      <name val="Arial"/>
      <family val="2"/>
    </font>
    <font>
      <u/>
      <sz val="10"/>
      <color theme="11"/>
      <name val="Arial"/>
      <family val="2"/>
    </font>
    <font>
      <u/>
      <sz val="10"/>
      <color theme="10"/>
      <name val="Arial"/>
      <family val="2"/>
    </font>
    <font>
      <sz val="11"/>
      <color theme="1"/>
      <name val="Calibri"/>
      <family val="2"/>
      <scheme val="minor"/>
    </font>
    <font>
      <u/>
      <sz val="10"/>
      <color theme="10"/>
      <name val="Arial"/>
      <family val="2"/>
    </font>
    <font>
      <sz val="10"/>
      <name val="Arial"/>
      <family val="2"/>
    </font>
    <font>
      <b/>
      <sz val="18"/>
      <name val="Aptos"/>
      <family val="2"/>
    </font>
    <font>
      <b/>
      <sz val="12"/>
      <name val="Aptos"/>
      <family val="2"/>
    </font>
    <font>
      <sz val="12"/>
      <name val="Aptos"/>
      <family val="2"/>
    </font>
    <font>
      <b/>
      <i/>
      <sz val="12"/>
      <name val="Aptos"/>
      <family val="2"/>
    </font>
    <font>
      <u/>
      <sz val="12"/>
      <color theme="10"/>
      <name val="Aptos"/>
      <family val="2"/>
    </font>
    <font>
      <b/>
      <sz val="16"/>
      <name val="Aptos"/>
      <family val="2"/>
    </font>
    <font>
      <sz val="14"/>
      <name val="Aptos"/>
      <family val="2"/>
    </font>
  </fonts>
  <fills count="8">
    <fill>
      <patternFill patternType="none"/>
    </fill>
    <fill>
      <patternFill patternType="gray125"/>
    </fill>
    <fill>
      <patternFill patternType="solid">
        <fgColor theme="4" tint="0.39997558519241921"/>
        <bgColor indexed="64"/>
      </patternFill>
    </fill>
    <fill>
      <patternFill patternType="solid">
        <fgColor theme="6" tint="0.39997558519241921"/>
        <bgColor indexed="64"/>
      </patternFill>
    </fill>
    <fill>
      <patternFill patternType="solid">
        <fgColor theme="0" tint="-0.499984740745262"/>
        <bgColor indexed="64"/>
      </patternFill>
    </fill>
    <fill>
      <patternFill patternType="solid">
        <fgColor theme="3" tint="0.59999389629810485"/>
        <bgColor indexed="64"/>
      </patternFill>
    </fill>
    <fill>
      <patternFill patternType="solid">
        <fgColor rgb="FFFFFF00"/>
        <bgColor indexed="64"/>
      </patternFill>
    </fill>
    <fill>
      <patternFill patternType="solid">
        <fgColor theme="6" tint="0.59999389629810485"/>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diagonal/>
    </border>
    <border>
      <left/>
      <right/>
      <top style="thin">
        <color indexed="64"/>
      </top>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89">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4" fillId="0" borderId="0"/>
    <xf numFmtId="44" fontId="4" fillId="0" borderId="0" applyFont="0" applyFill="0" applyBorder="0" applyAlignment="0" applyProtection="0"/>
    <xf numFmtId="0" fontId="5" fillId="0" borderId="0" applyNumberForma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4" fillId="0" borderId="0"/>
  </cellStyleXfs>
  <cellXfs count="161">
    <xf numFmtId="0" fontId="0" fillId="0" borderId="0" xfId="0"/>
    <xf numFmtId="0" fontId="9" fillId="0" borderId="0" xfId="0" applyFont="1"/>
    <xf numFmtId="16" fontId="8" fillId="3" borderId="1" xfId="0" applyNumberFormat="1" applyFont="1" applyFill="1" applyBorder="1" applyAlignment="1" applyProtection="1">
      <alignment horizontal="center" vertical="center" wrapText="1"/>
      <protection locked="0"/>
    </xf>
    <xf numFmtId="0" fontId="8" fillId="3" borderId="1" xfId="0" applyFont="1" applyFill="1" applyBorder="1" applyAlignment="1" applyProtection="1">
      <alignment horizontal="center" vertical="center"/>
      <protection locked="0"/>
    </xf>
    <xf numFmtId="9" fontId="8" fillId="3" borderId="5" xfId="0" applyNumberFormat="1" applyFont="1" applyFill="1" applyBorder="1" applyAlignment="1">
      <alignment horizontal="center" vertical="center"/>
    </xf>
    <xf numFmtId="0" fontId="9" fillId="0" borderId="0" xfId="0" applyFont="1" applyAlignment="1">
      <alignment horizontal="center" vertical="center"/>
    </xf>
    <xf numFmtId="0" fontId="9" fillId="0" borderId="0" xfId="0" applyFont="1" applyAlignment="1">
      <alignment vertical="center"/>
    </xf>
    <xf numFmtId="0" fontId="9" fillId="5" borderId="1" xfId="0" applyFont="1" applyFill="1" applyBorder="1" applyAlignment="1" applyProtection="1">
      <alignment horizontal="center" vertical="center"/>
      <protection locked="0"/>
    </xf>
    <xf numFmtId="0" fontId="8" fillId="5" borderId="1" xfId="0" applyFont="1" applyFill="1" applyBorder="1" applyAlignment="1" applyProtection="1">
      <alignment horizontal="center" vertical="center"/>
      <protection locked="0"/>
    </xf>
    <xf numFmtId="0" fontId="9" fillId="5" borderId="1" xfId="0" applyFont="1" applyFill="1" applyBorder="1" applyAlignment="1">
      <alignment horizontal="center" vertical="center"/>
    </xf>
    <xf numFmtId="0" fontId="8" fillId="5" borderId="1" xfId="0" applyFont="1" applyFill="1" applyBorder="1" applyAlignment="1">
      <alignment horizontal="center" vertical="center"/>
    </xf>
    <xf numFmtId="164" fontId="9" fillId="3" borderId="5" xfId="0" applyNumberFormat="1" applyFont="1" applyFill="1" applyBorder="1" applyAlignment="1">
      <alignment horizontal="center" vertical="center"/>
    </xf>
    <xf numFmtId="0" fontId="9" fillId="0" borderId="10" xfId="0" applyFont="1" applyBorder="1" applyAlignment="1">
      <alignment horizontal="right"/>
    </xf>
    <xf numFmtId="0" fontId="9" fillId="0" borderId="0" xfId="0" applyFont="1" applyAlignment="1">
      <alignment horizontal="right"/>
    </xf>
    <xf numFmtId="0" fontId="9" fillId="0" borderId="9" xfId="0" applyFont="1" applyBorder="1"/>
    <xf numFmtId="164" fontId="9" fillId="0" borderId="0" xfId="0" applyNumberFormat="1" applyFont="1"/>
    <xf numFmtId="0" fontId="8" fillId="4" borderId="11"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3" xfId="0" applyFont="1" applyFill="1" applyBorder="1" applyAlignment="1">
      <alignment horizontal="center" vertical="center" wrapText="1"/>
    </xf>
    <xf numFmtId="164" fontId="8" fillId="4" borderId="3" xfId="0" applyNumberFormat="1" applyFont="1" applyFill="1" applyBorder="1" applyAlignment="1" applyProtection="1">
      <alignment horizontal="center" vertical="center"/>
      <protection locked="0"/>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0" fontId="8" fillId="6" borderId="1" xfId="0" applyFont="1" applyFill="1" applyBorder="1" applyAlignment="1" applyProtection="1">
      <alignment horizontal="center" vertical="center"/>
      <protection locked="0"/>
    </xf>
    <xf numFmtId="0" fontId="8" fillId="6" borderId="1" xfId="0" applyFont="1" applyFill="1" applyBorder="1" applyAlignment="1">
      <alignment horizontal="center" vertical="center"/>
    </xf>
    <xf numFmtId="0" fontId="9" fillId="7" borderId="1" xfId="0" applyFont="1" applyFill="1" applyBorder="1" applyAlignment="1">
      <alignment horizontal="right" vertical="center"/>
    </xf>
    <xf numFmtId="0" fontId="8" fillId="0" borderId="0" xfId="0" applyFont="1" applyAlignment="1">
      <alignment horizontal="center" vertical="center"/>
    </xf>
    <xf numFmtId="0" fontId="8" fillId="0" borderId="1" xfId="0" applyFont="1" applyBorder="1" applyAlignment="1" applyProtection="1">
      <alignment horizontal="left"/>
      <protection locked="0"/>
    </xf>
    <xf numFmtId="37" fontId="8" fillId="0" borderId="1" xfId="0" applyNumberFormat="1" applyFont="1" applyBorder="1" applyAlignment="1" applyProtection="1">
      <alignment horizontal="left"/>
      <protection locked="0"/>
    </xf>
    <xf numFmtId="4" fontId="8" fillId="0" borderId="1" xfId="0" applyNumberFormat="1" applyFont="1" applyBorder="1" applyAlignment="1" applyProtection="1">
      <alignment horizontal="left"/>
      <protection locked="0"/>
    </xf>
    <xf numFmtId="0" fontId="8" fillId="0" borderId="1" xfId="0" applyFont="1" applyBorder="1" applyAlignment="1" applyProtection="1">
      <alignment horizontal="center"/>
      <protection locked="0"/>
    </xf>
    <xf numFmtId="165" fontId="8" fillId="0" borderId="1" xfId="0" applyNumberFormat="1" applyFont="1" applyBorder="1" applyAlignment="1" applyProtection="1">
      <alignment horizontal="center"/>
      <protection locked="0"/>
    </xf>
    <xf numFmtId="0" fontId="9" fillId="0" borderId="1" xfId="0" applyFont="1" applyBorder="1" applyAlignment="1" applyProtection="1">
      <alignment horizontal="center"/>
      <protection locked="0"/>
    </xf>
    <xf numFmtId="164" fontId="8" fillId="0" borderId="1" xfId="0" applyNumberFormat="1" applyFont="1" applyBorder="1" applyAlignment="1" applyProtection="1">
      <alignment horizontal="left"/>
      <protection locked="0"/>
    </xf>
    <xf numFmtId="165" fontId="9" fillId="0" borderId="1" xfId="0" applyNumberFormat="1" applyFont="1" applyBorder="1" applyProtection="1">
      <protection locked="0"/>
    </xf>
    <xf numFmtId="0" fontId="9" fillId="0" borderId="1" xfId="0" applyFont="1" applyBorder="1" applyProtection="1">
      <protection locked="0"/>
    </xf>
    <xf numFmtId="0" fontId="9" fillId="0" borderId="0" xfId="0" applyFont="1" applyProtection="1">
      <protection locked="0"/>
    </xf>
    <xf numFmtId="0" fontId="9" fillId="7" borderId="1" xfId="0" applyFont="1" applyFill="1" applyBorder="1" applyAlignment="1">
      <alignment horizontal="center" vertical="center"/>
    </xf>
    <xf numFmtId="0" fontId="9" fillId="0" borderId="3" xfId="0" applyFont="1" applyBorder="1" applyAlignment="1" applyProtection="1">
      <alignment vertical="center"/>
      <protection locked="0"/>
    </xf>
    <xf numFmtId="0" fontId="9" fillId="0" borderId="4" xfId="0" applyFont="1" applyBorder="1" applyAlignment="1" applyProtection="1">
      <alignment vertical="center"/>
      <protection locked="0"/>
    </xf>
    <xf numFmtId="164" fontId="9" fillId="5" borderId="1" xfId="0" applyNumberFormat="1" applyFont="1" applyFill="1" applyBorder="1" applyAlignment="1">
      <alignment horizontal="right" vertical="center"/>
    </xf>
    <xf numFmtId="9" fontId="9" fillId="5" borderId="1" xfId="0" applyNumberFormat="1" applyFont="1" applyFill="1" applyBorder="1" applyAlignment="1">
      <alignment horizontal="center" vertical="center"/>
    </xf>
    <xf numFmtId="164" fontId="9" fillId="5" borderId="1" xfId="0" applyNumberFormat="1" applyFont="1" applyFill="1" applyBorder="1" applyAlignment="1">
      <alignment horizontal="center" vertical="center"/>
    </xf>
    <xf numFmtId="1" fontId="8" fillId="5" borderId="5" xfId="0" applyNumberFormat="1" applyFont="1" applyFill="1" applyBorder="1" applyAlignment="1">
      <alignment horizontal="center" vertical="center"/>
    </xf>
    <xf numFmtId="0" fontId="9" fillId="6" borderId="1" xfId="0" applyFont="1" applyFill="1" applyBorder="1" applyAlignment="1" applyProtection="1">
      <alignment horizontal="center" vertical="center"/>
      <protection locked="0"/>
    </xf>
    <xf numFmtId="0" fontId="9" fillId="6" borderId="2" xfId="0" applyFont="1" applyFill="1" applyBorder="1" applyAlignment="1" applyProtection="1">
      <alignment horizontal="center" vertical="center"/>
      <protection locked="0"/>
    </xf>
    <xf numFmtId="164" fontId="8" fillId="5" borderId="1" xfId="0" applyNumberFormat="1" applyFont="1" applyFill="1" applyBorder="1" applyAlignment="1">
      <alignment vertical="center"/>
    </xf>
    <xf numFmtId="164" fontId="9" fillId="5" borderId="1" xfId="0" applyNumberFormat="1" applyFont="1" applyFill="1" applyBorder="1" applyAlignment="1">
      <alignment vertical="center"/>
    </xf>
    <xf numFmtId="44" fontId="9" fillId="5" borderId="1" xfId="86" applyFont="1" applyFill="1" applyBorder="1" applyAlignment="1">
      <alignment vertical="center"/>
    </xf>
    <xf numFmtId="164" fontId="8" fillId="4" borderId="13" xfId="0" applyNumberFormat="1" applyFont="1" applyFill="1" applyBorder="1" applyAlignment="1" applyProtection="1">
      <alignment horizontal="center" vertical="center"/>
      <protection locked="0"/>
    </xf>
    <xf numFmtId="0" fontId="8" fillId="4" borderId="0" xfId="0" applyFont="1" applyFill="1" applyAlignment="1">
      <alignment horizontal="center" vertical="center"/>
    </xf>
    <xf numFmtId="0" fontId="8" fillId="4" borderId="13" xfId="0" applyFont="1" applyFill="1" applyBorder="1" applyAlignment="1">
      <alignment horizontal="center" vertical="center" wrapText="1"/>
    </xf>
    <xf numFmtId="0" fontId="9" fillId="4" borderId="13" xfId="0" applyFont="1" applyFill="1" applyBorder="1" applyAlignment="1">
      <alignment vertical="center"/>
    </xf>
    <xf numFmtId="44" fontId="9" fillId="6" borderId="1" xfId="0" applyNumberFormat="1" applyFont="1" applyFill="1" applyBorder="1" applyAlignment="1">
      <alignment horizontal="center" vertical="center"/>
    </xf>
    <xf numFmtId="44" fontId="9" fillId="6" borderId="1" xfId="0" applyNumberFormat="1" applyFont="1" applyFill="1" applyBorder="1" applyAlignment="1" applyProtection="1">
      <alignment horizontal="right" vertical="center"/>
      <protection locked="0"/>
    </xf>
    <xf numFmtId="0" fontId="9" fillId="3" borderId="1" xfId="0" applyFont="1" applyFill="1" applyBorder="1" applyAlignment="1">
      <alignment horizontal="center" vertical="center"/>
    </xf>
    <xf numFmtId="0" fontId="9" fillId="6" borderId="1" xfId="0" applyFont="1" applyFill="1" applyBorder="1" applyAlignment="1">
      <alignment horizontal="center" vertical="center"/>
    </xf>
    <xf numFmtId="0" fontId="9" fillId="2" borderId="1" xfId="0" applyFont="1" applyFill="1" applyBorder="1" applyAlignment="1">
      <alignment horizontal="center" vertical="center"/>
    </xf>
    <xf numFmtId="164" fontId="9" fillId="2" borderId="5" xfId="0" applyNumberFormat="1" applyFont="1" applyFill="1" applyBorder="1" applyAlignment="1">
      <alignment horizontal="center" vertical="center"/>
    </xf>
    <xf numFmtId="164" fontId="9" fillId="2" borderId="5" xfId="0" applyNumberFormat="1" applyFont="1" applyFill="1" applyBorder="1" applyAlignment="1">
      <alignment horizontal="right" vertical="center"/>
    </xf>
    <xf numFmtId="164" fontId="9" fillId="2" borderId="1" xfId="0" applyNumberFormat="1" applyFont="1" applyFill="1" applyBorder="1" applyAlignment="1">
      <alignment horizontal="center" vertical="center"/>
    </xf>
    <xf numFmtId="164" fontId="9" fillId="2" borderId="1" xfId="0" applyNumberFormat="1" applyFont="1" applyFill="1" applyBorder="1" applyAlignment="1">
      <alignment horizontal="right" vertical="center"/>
    </xf>
    <xf numFmtId="164" fontId="9" fillId="6" borderId="5" xfId="0" applyNumberFormat="1" applyFont="1" applyFill="1" applyBorder="1" applyAlignment="1">
      <alignment horizontal="center" vertical="center"/>
    </xf>
    <xf numFmtId="164" fontId="9" fillId="6" borderId="1" xfId="0" applyNumberFormat="1" applyFont="1" applyFill="1" applyBorder="1" applyAlignment="1">
      <alignment horizontal="center" vertical="center"/>
    </xf>
    <xf numFmtId="0" fontId="8" fillId="3" borderId="1" xfId="0" applyFont="1" applyFill="1" applyBorder="1" applyAlignment="1">
      <alignment horizontal="center" vertical="center" wrapText="1"/>
    </xf>
    <xf numFmtId="9" fontId="8" fillId="3" borderId="1" xfId="0" applyNumberFormat="1" applyFont="1" applyFill="1" applyBorder="1" applyAlignment="1">
      <alignment horizontal="center" vertical="center" wrapText="1"/>
    </xf>
    <xf numFmtId="16" fontId="8" fillId="3" borderId="6" xfId="0" applyNumberFormat="1" applyFont="1" applyFill="1" applyBorder="1" applyAlignment="1">
      <alignment horizontal="center" vertical="center" wrapText="1"/>
    </xf>
    <xf numFmtId="16" fontId="8" fillId="3" borderId="5" xfId="0" applyNumberFormat="1" applyFont="1" applyFill="1" applyBorder="1" applyAlignment="1">
      <alignment horizontal="center" vertical="center"/>
    </xf>
    <xf numFmtId="9" fontId="8" fillId="3" borderId="6" xfId="0" applyNumberFormat="1" applyFont="1" applyFill="1" applyBorder="1" applyAlignment="1">
      <alignment horizontal="center" vertical="center"/>
    </xf>
    <xf numFmtId="9" fontId="8" fillId="3" borderId="5" xfId="0" applyNumberFormat="1" applyFont="1" applyFill="1" applyBorder="1" applyAlignment="1">
      <alignment horizontal="center" vertical="center"/>
    </xf>
    <xf numFmtId="16" fontId="8" fillId="3" borderId="5" xfId="0" applyNumberFormat="1" applyFont="1" applyFill="1" applyBorder="1" applyAlignment="1">
      <alignment horizontal="center" vertical="center" wrapText="1"/>
    </xf>
    <xf numFmtId="0" fontId="8" fillId="3" borderId="1" xfId="0" applyFont="1" applyFill="1" applyBorder="1" applyAlignment="1">
      <alignment horizontal="right" vertical="center" wrapText="1"/>
    </xf>
    <xf numFmtId="0" fontId="9" fillId="3" borderId="1" xfId="0" applyFont="1" applyFill="1" applyBorder="1" applyAlignment="1">
      <alignment horizontal="right" vertical="center"/>
    </xf>
    <xf numFmtId="44" fontId="8" fillId="6" borderId="2" xfId="0" applyNumberFormat="1" applyFont="1" applyFill="1" applyBorder="1" applyAlignment="1" applyProtection="1">
      <alignment horizontal="center" vertical="center"/>
      <protection locked="0"/>
    </xf>
    <xf numFmtId="44" fontId="8" fillId="6" borderId="4" xfId="0" applyNumberFormat="1" applyFont="1" applyFill="1" applyBorder="1" applyAlignment="1" applyProtection="1">
      <alignment horizontal="center" vertical="center"/>
      <protection locked="0"/>
    </xf>
    <xf numFmtId="0" fontId="8" fillId="3" borderId="2"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8" fillId="3" borderId="2" xfId="0" applyFont="1" applyFill="1" applyBorder="1" applyAlignment="1">
      <alignment horizontal="right" vertical="center"/>
    </xf>
    <xf numFmtId="0" fontId="8" fillId="3" borderId="4" xfId="0" applyFont="1" applyFill="1" applyBorder="1" applyAlignment="1">
      <alignment horizontal="right" vertical="center"/>
    </xf>
    <xf numFmtId="0" fontId="8" fillId="6" borderId="1" xfId="0" applyFont="1" applyFill="1" applyBorder="1" applyAlignment="1">
      <alignment horizontal="right" vertical="center"/>
    </xf>
    <xf numFmtId="0" fontId="9" fillId="6" borderId="1" xfId="0" applyFont="1" applyFill="1" applyBorder="1" applyAlignment="1">
      <alignment horizontal="right" vertical="center"/>
    </xf>
    <xf numFmtId="0" fontId="8" fillId="3" borderId="1" xfId="0" applyFont="1" applyFill="1" applyBorder="1" applyAlignment="1">
      <alignment horizontal="right" vertical="center"/>
    </xf>
    <xf numFmtId="0" fontId="9" fillId="3" borderId="1" xfId="0" applyFont="1" applyFill="1" applyBorder="1" applyAlignment="1">
      <alignment horizontal="right"/>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13" fillId="6" borderId="1" xfId="0" applyFont="1" applyFill="1" applyBorder="1" applyAlignment="1">
      <alignment horizontal="center" vertical="center"/>
    </xf>
    <xf numFmtId="0" fontId="9" fillId="0" borderId="7" xfId="0" applyFont="1" applyBorder="1"/>
    <xf numFmtId="0" fontId="9" fillId="0" borderId="11" xfId="0" applyFont="1" applyBorder="1"/>
    <xf numFmtId="0" fontId="8" fillId="0" borderId="1" xfId="0" applyFont="1" applyBorder="1" applyAlignment="1">
      <alignment horizontal="right" vertical="center"/>
    </xf>
    <xf numFmtId="0" fontId="9" fillId="0" borderId="1" xfId="0" applyFont="1" applyBorder="1" applyAlignment="1">
      <alignment horizontal="right"/>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0" fontId="8" fillId="6" borderId="2" xfId="0" applyFont="1" applyFill="1" applyBorder="1" applyAlignment="1" applyProtection="1">
      <alignment horizontal="right" vertical="center"/>
      <protection locked="0"/>
    </xf>
    <xf numFmtId="0" fontId="8" fillId="6" borderId="4" xfId="0" applyFont="1" applyFill="1" applyBorder="1" applyAlignment="1" applyProtection="1">
      <alignment horizontal="right" vertical="center"/>
      <protection locked="0"/>
    </xf>
    <xf numFmtId="0" fontId="8" fillId="6" borderId="2" xfId="0" applyFont="1" applyFill="1" applyBorder="1" applyAlignment="1">
      <alignment horizontal="center" vertical="center"/>
    </xf>
    <xf numFmtId="0" fontId="8" fillId="6" borderId="3" xfId="0" applyFont="1" applyFill="1" applyBorder="1" applyAlignment="1">
      <alignment horizontal="center" vertical="center"/>
    </xf>
    <xf numFmtId="0" fontId="8" fillId="6" borderId="4" xfId="0" applyFont="1" applyFill="1" applyBorder="1" applyAlignment="1">
      <alignment horizontal="center" vertical="center"/>
    </xf>
    <xf numFmtId="14" fontId="8" fillId="6" borderId="2" xfId="0" applyNumberFormat="1" applyFont="1" applyFill="1" applyBorder="1" applyAlignment="1">
      <alignment horizontal="center" vertical="center"/>
    </xf>
    <xf numFmtId="0" fontId="9" fillId="3" borderId="3" xfId="0" applyFont="1" applyFill="1" applyBorder="1"/>
    <xf numFmtId="0" fontId="9" fillId="3" borderId="4" xfId="0" applyFont="1" applyFill="1" applyBorder="1"/>
    <xf numFmtId="0" fontId="8" fillId="3" borderId="4"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9" fillId="3" borderId="4" xfId="0" applyFont="1" applyFill="1" applyBorder="1" applyAlignment="1">
      <alignment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13" xfId="0" applyFont="1" applyFill="1" applyBorder="1" applyAlignment="1">
      <alignment horizontal="center" vertical="center"/>
    </xf>
    <xf numFmtId="0" fontId="11" fillId="6" borderId="2" xfId="85" applyFont="1" applyFill="1" applyBorder="1" applyAlignment="1">
      <alignment horizontal="center" vertical="center"/>
    </xf>
    <xf numFmtId="164" fontId="8" fillId="6" borderId="7" xfId="0" applyNumberFormat="1" applyFont="1" applyFill="1" applyBorder="1" applyAlignment="1" applyProtection="1">
      <alignment horizontal="center" vertical="center"/>
      <protection locked="0"/>
    </xf>
    <xf numFmtId="164" fontId="8" fillId="6" borderId="8" xfId="0" applyNumberFormat="1" applyFont="1" applyFill="1" applyBorder="1" applyAlignment="1" applyProtection="1">
      <alignment horizontal="center" vertical="center"/>
      <protection locked="0"/>
    </xf>
    <xf numFmtId="0" fontId="8" fillId="3" borderId="7" xfId="0" applyFont="1" applyFill="1" applyBorder="1" applyAlignment="1">
      <alignment horizontal="center" vertical="center" wrapText="1"/>
    </xf>
    <xf numFmtId="0" fontId="9" fillId="3" borderId="8" xfId="0" applyFont="1" applyFill="1" applyBorder="1" applyAlignment="1">
      <alignment vertical="center"/>
    </xf>
    <xf numFmtId="164" fontId="8" fillId="6" borderId="2" xfId="0" applyNumberFormat="1" applyFont="1" applyFill="1" applyBorder="1" applyAlignment="1" applyProtection="1">
      <alignment horizontal="center" vertical="center"/>
      <protection locked="0"/>
    </xf>
    <xf numFmtId="164" fontId="8" fillId="6" borderId="4" xfId="0" applyNumberFormat="1" applyFont="1" applyFill="1" applyBorder="1" applyAlignment="1" applyProtection="1">
      <alignment horizontal="center" vertical="center"/>
      <protection locked="0"/>
    </xf>
    <xf numFmtId="0" fontId="9" fillId="0" borderId="3" xfId="0" applyFont="1" applyBorder="1" applyAlignment="1">
      <alignment horizontal="center" vertical="center" wrapText="1"/>
    </xf>
    <xf numFmtId="164" fontId="9" fillId="4" borderId="2" xfId="0" applyNumberFormat="1" applyFont="1" applyFill="1" applyBorder="1" applyAlignment="1" applyProtection="1">
      <alignment horizontal="right" vertical="center"/>
      <protection locked="0"/>
    </xf>
    <xf numFmtId="0" fontId="9" fillId="4" borderId="3" xfId="0" applyFont="1" applyFill="1" applyBorder="1" applyAlignment="1">
      <alignment vertical="center"/>
    </xf>
    <xf numFmtId="0" fontId="9" fillId="4" borderId="4" xfId="0" applyFont="1" applyFill="1" applyBorder="1" applyAlignment="1">
      <alignment vertical="center"/>
    </xf>
    <xf numFmtId="0" fontId="8" fillId="5" borderId="2" xfId="0" applyFont="1" applyFill="1" applyBorder="1" applyAlignment="1" applyProtection="1">
      <alignment horizontal="right" vertical="center" wrapText="1"/>
      <protection locked="0"/>
    </xf>
    <xf numFmtId="0" fontId="9" fillId="5" borderId="4" xfId="0" applyFont="1" applyFill="1" applyBorder="1" applyAlignment="1">
      <alignment horizontal="right" vertical="center" wrapText="1"/>
    </xf>
    <xf numFmtId="0" fontId="8" fillId="5" borderId="1" xfId="0" applyFont="1" applyFill="1" applyBorder="1" applyAlignment="1">
      <alignment horizontal="right" vertical="center" wrapText="1"/>
    </xf>
    <xf numFmtId="0" fontId="9" fillId="5" borderId="1" xfId="0" applyFont="1" applyFill="1" applyBorder="1" applyAlignment="1">
      <alignment horizontal="right" vertical="center"/>
    </xf>
    <xf numFmtId="164" fontId="10" fillId="3" borderId="2" xfId="0" applyNumberFormat="1" applyFont="1" applyFill="1" applyBorder="1" applyAlignment="1">
      <alignment horizontal="center" vertical="center"/>
    </xf>
    <xf numFmtId="164" fontId="10" fillId="3" borderId="3" xfId="0" applyNumberFormat="1" applyFont="1" applyFill="1" applyBorder="1" applyAlignment="1">
      <alignment horizontal="center" vertical="center"/>
    </xf>
    <xf numFmtId="164" fontId="10" fillId="3" borderId="4" xfId="0" applyNumberFormat="1" applyFont="1" applyFill="1" applyBorder="1" applyAlignment="1">
      <alignment horizontal="center" vertical="center"/>
    </xf>
    <xf numFmtId="0" fontId="9" fillId="3" borderId="8" xfId="0" applyFont="1" applyFill="1" applyBorder="1" applyAlignment="1">
      <alignment horizontal="center" vertical="center" wrapText="1"/>
    </xf>
    <xf numFmtId="164" fontId="9" fillId="4" borderId="7" xfId="0" applyNumberFormat="1" applyFont="1" applyFill="1" applyBorder="1" applyAlignment="1">
      <alignment horizontal="center" vertical="center"/>
    </xf>
    <xf numFmtId="0" fontId="9" fillId="4" borderId="11" xfId="0" applyFont="1" applyFill="1" applyBorder="1" applyAlignment="1">
      <alignment vertical="center"/>
    </xf>
    <xf numFmtId="0" fontId="9" fillId="4" borderId="8" xfId="0" applyFont="1" applyFill="1" applyBorder="1" applyAlignment="1">
      <alignment vertical="center"/>
    </xf>
    <xf numFmtId="0" fontId="8" fillId="6" borderId="10"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8" fillId="6" borderId="14" xfId="0" applyFont="1" applyFill="1" applyBorder="1" applyAlignment="1">
      <alignment horizontal="center" vertical="center" wrapText="1"/>
    </xf>
    <xf numFmtId="0" fontId="8" fillId="3" borderId="2" xfId="0" applyFont="1" applyFill="1" applyBorder="1" applyAlignment="1">
      <alignment horizontal="right" vertical="center" wrapText="1"/>
    </xf>
    <xf numFmtId="0" fontId="8" fillId="3" borderId="4" xfId="0" applyFont="1" applyFill="1" applyBorder="1" applyAlignment="1">
      <alignment horizontal="right" vertical="center" wrapText="1"/>
    </xf>
    <xf numFmtId="0" fontId="8" fillId="6" borderId="2" xfId="0" applyFont="1" applyFill="1" applyBorder="1" applyAlignment="1" applyProtection="1">
      <alignment horizontal="center" vertical="center"/>
      <protection locked="0"/>
    </xf>
    <xf numFmtId="0" fontId="8" fillId="6" borderId="4" xfId="0" applyFont="1" applyFill="1" applyBorder="1" applyAlignment="1" applyProtection="1">
      <alignment horizontal="center" vertical="center"/>
      <protection locked="0"/>
    </xf>
    <xf numFmtId="164" fontId="8" fillId="2" borderId="7" xfId="0" applyNumberFormat="1" applyFont="1" applyFill="1" applyBorder="1" applyAlignment="1">
      <alignment horizontal="center" vertical="center"/>
    </xf>
    <xf numFmtId="164" fontId="8" fillId="2" borderId="8" xfId="0" applyNumberFormat="1" applyFont="1" applyFill="1" applyBorder="1" applyAlignment="1">
      <alignment horizontal="center" vertical="center"/>
    </xf>
    <xf numFmtId="0" fontId="9" fillId="3" borderId="3" xfId="0" applyFont="1" applyFill="1" applyBorder="1" applyAlignment="1">
      <alignment horizontal="center" vertical="center"/>
    </xf>
    <xf numFmtId="0" fontId="9" fillId="3" borderId="3"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8" xfId="0" applyFont="1" applyFill="1" applyBorder="1" applyAlignment="1">
      <alignment horizontal="center" vertical="center" wrapText="1"/>
    </xf>
    <xf numFmtId="164" fontId="10" fillId="4" borderId="12" xfId="0" applyNumberFormat="1" applyFont="1" applyFill="1" applyBorder="1" applyAlignment="1">
      <alignment horizontal="center" vertical="center"/>
    </xf>
    <xf numFmtId="164" fontId="10" fillId="4" borderId="13" xfId="0" applyNumberFormat="1" applyFont="1" applyFill="1" applyBorder="1" applyAlignment="1">
      <alignment horizontal="center" vertical="center"/>
    </xf>
    <xf numFmtId="164" fontId="10" fillId="4" borderId="14" xfId="0" applyNumberFormat="1" applyFont="1" applyFill="1" applyBorder="1" applyAlignment="1">
      <alignment horizontal="center" vertical="center"/>
    </xf>
    <xf numFmtId="44" fontId="9" fillId="6" borderId="4" xfId="0" applyNumberFormat="1" applyFont="1" applyFill="1" applyBorder="1" applyAlignment="1">
      <alignment horizontal="center" vertical="center"/>
    </xf>
    <xf numFmtId="0" fontId="8" fillId="3" borderId="1" xfId="0" applyFont="1" applyFill="1" applyBorder="1" applyAlignment="1">
      <alignment horizontal="center" vertical="center" wrapText="1"/>
    </xf>
    <xf numFmtId="0" fontId="8" fillId="2" borderId="4" xfId="0" applyFont="1" applyFill="1" applyBorder="1" applyAlignment="1">
      <alignment horizontal="center" vertical="center"/>
    </xf>
    <xf numFmtId="0" fontId="8" fillId="0" borderId="2" xfId="0" applyFont="1" applyBorder="1" applyAlignment="1" applyProtection="1">
      <alignment horizontal="center" vertical="center" wrapText="1"/>
      <protection locked="0"/>
    </xf>
    <xf numFmtId="0" fontId="8" fillId="0" borderId="3" xfId="0" applyFont="1" applyBorder="1" applyAlignment="1" applyProtection="1">
      <alignment horizontal="center" vertical="center" wrapText="1"/>
      <protection locked="0"/>
    </xf>
    <xf numFmtId="0" fontId="9" fillId="0" borderId="13" xfId="0" applyFont="1" applyBorder="1" applyAlignment="1" applyProtection="1">
      <alignment vertical="center"/>
      <protection locked="0"/>
    </xf>
    <xf numFmtId="0" fontId="8" fillId="7" borderId="15" xfId="0" applyFont="1" applyFill="1" applyBorder="1" applyAlignment="1" applyProtection="1">
      <alignment horizontal="center" vertical="center" wrapText="1"/>
      <protection locked="0"/>
    </xf>
    <xf numFmtId="0" fontId="8" fillId="7" borderId="16" xfId="0" applyFont="1" applyFill="1" applyBorder="1" applyAlignment="1" applyProtection="1">
      <alignment horizontal="center" vertical="center" wrapText="1"/>
      <protection locked="0"/>
    </xf>
    <xf numFmtId="9" fontId="7" fillId="7" borderId="17" xfId="87" applyFont="1" applyFill="1" applyBorder="1" applyAlignment="1" applyProtection="1">
      <alignment horizontal="center" vertical="center" wrapText="1"/>
      <protection locked="0"/>
    </xf>
    <xf numFmtId="0" fontId="12" fillId="7" borderId="15" xfId="0" applyFont="1" applyFill="1" applyBorder="1" applyAlignment="1" applyProtection="1">
      <alignment horizontal="center" vertical="center" wrapText="1"/>
      <protection locked="0"/>
    </xf>
    <xf numFmtId="0" fontId="12" fillId="7" borderId="16" xfId="0" applyFont="1" applyFill="1" applyBorder="1" applyAlignment="1" applyProtection="1">
      <alignment horizontal="center" vertical="center" wrapText="1"/>
      <protection locked="0"/>
    </xf>
    <xf numFmtId="0" fontId="12" fillId="7" borderId="17" xfId="0" applyFont="1" applyFill="1" applyBorder="1" applyAlignment="1" applyProtection="1">
      <alignment horizontal="center" vertical="center" wrapText="1"/>
      <protection locked="0"/>
    </xf>
    <xf numFmtId="0" fontId="9" fillId="0" borderId="14" xfId="0" applyFont="1" applyBorder="1" applyAlignment="1" applyProtection="1">
      <alignment vertical="center"/>
      <protection locked="0"/>
    </xf>
    <xf numFmtId="0" fontId="12" fillId="7" borderId="15" xfId="0" applyFont="1" applyFill="1" applyBorder="1" applyAlignment="1" applyProtection="1">
      <alignment horizontal="center" vertical="center" wrapText="1"/>
      <protection locked="0"/>
    </xf>
    <xf numFmtId="0" fontId="12" fillId="7" borderId="16" xfId="0" applyFont="1" applyFill="1" applyBorder="1" applyAlignment="1">
      <alignment horizontal="center" vertical="center" wrapText="1"/>
    </xf>
    <xf numFmtId="0" fontId="12" fillId="7" borderId="17" xfId="0" applyFont="1" applyFill="1" applyBorder="1" applyAlignment="1">
      <alignment horizontal="center" vertical="center" wrapText="1"/>
    </xf>
  </cellXfs>
  <cellStyles count="89">
    <cellStyle name="Currency" xfId="86" builtinId="4"/>
    <cellStyle name="Currency 2" xfId="84" xr:uid="{4B6679B4-68E8-4447-981D-9E2EA8CAC8B6}"/>
    <cellStyle name="Followed Hyperlink" xfId="1" builtinId="9" hidden="1"/>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5" builtinId="8"/>
    <cellStyle name="Normal" xfId="0" builtinId="0"/>
    <cellStyle name="Normal 2" xfId="83" xr:uid="{C8710BED-823F-F346-8BE5-3AB464349C71}"/>
    <cellStyle name="Normal 3 2 2 2" xfId="88" xr:uid="{036E8AAB-6621-D940-8887-68A4BDF4F299}"/>
    <cellStyle name="Percent" xfId="8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100012</xdr:colOff>
      <xdr:row>0</xdr:row>
      <xdr:rowOff>167481</xdr:rowOff>
    </xdr:from>
    <xdr:to>
      <xdr:col>2</xdr:col>
      <xdr:colOff>122731</xdr:colOff>
      <xdr:row>0</xdr:row>
      <xdr:rowOff>515302</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 y="167481"/>
          <a:ext cx="2088057" cy="3325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72"/>
  <sheetViews>
    <sheetView showGridLines="0" tabSelected="1" zoomScale="80" zoomScaleNormal="80" workbookViewId="0">
      <pane xSplit="2" ySplit="6" topLeftCell="C7" activePane="bottomRight" state="frozen"/>
      <selection pane="topRight" activeCell="B1" sqref="B1"/>
      <selection pane="bottomLeft" activeCell="A7" sqref="A7"/>
      <selection pane="bottomRight" activeCell="M1" sqref="M1:N1"/>
    </sheetView>
  </sheetViews>
  <sheetFormatPr baseColWidth="10" defaultColWidth="8.6640625" defaultRowHeight="16" x14ac:dyDescent="0.2"/>
  <cols>
    <col min="1" max="2" width="14.5" style="1" customWidth="1"/>
    <col min="3" max="6" width="9.5" style="1" customWidth="1"/>
    <col min="7" max="8" width="10.5" style="1" customWidth="1"/>
    <col min="9" max="14" width="9.5" style="1" customWidth="1"/>
    <col min="15" max="15" width="19.5" style="1" customWidth="1"/>
    <col min="16" max="16" width="7.5" style="1" bestFit="1" customWidth="1"/>
    <col min="17" max="17" width="15.5" style="1" customWidth="1"/>
    <col min="18" max="18" width="24.5" style="1" customWidth="1"/>
    <col min="19" max="19" width="18.33203125" style="1" customWidth="1"/>
    <col min="20" max="16384" width="8.6640625" style="1"/>
  </cols>
  <sheetData>
    <row r="1" spans="1:18" ht="54.75" customHeight="1" thickBot="1" x14ac:dyDescent="0.25">
      <c r="A1" s="85"/>
      <c r="B1" s="86"/>
      <c r="C1" s="148" t="s">
        <v>81</v>
      </c>
      <c r="D1" s="149"/>
      <c r="E1" s="149"/>
      <c r="F1" s="149"/>
      <c r="G1" s="149"/>
      <c r="H1" s="151" t="s">
        <v>69</v>
      </c>
      <c r="I1" s="152"/>
      <c r="J1" s="153">
        <v>0</v>
      </c>
      <c r="K1" s="154" t="s">
        <v>87</v>
      </c>
      <c r="L1" s="155"/>
      <c r="M1" s="155"/>
      <c r="N1" s="156"/>
      <c r="O1" s="158" t="s">
        <v>88</v>
      </c>
      <c r="P1" s="159" t="s">
        <v>89</v>
      </c>
      <c r="Q1" s="160"/>
    </row>
    <row r="2" spans="1:18" ht="30.25" customHeight="1" x14ac:dyDescent="0.2">
      <c r="A2" s="87" t="s">
        <v>1</v>
      </c>
      <c r="B2" s="88"/>
      <c r="C2" s="150"/>
      <c r="D2" s="150"/>
      <c r="E2" s="150"/>
      <c r="F2" s="150"/>
      <c r="G2" s="150"/>
      <c r="H2" s="150"/>
      <c r="I2" s="150"/>
      <c r="J2" s="150"/>
      <c r="K2" s="150"/>
      <c r="L2" s="150"/>
      <c r="M2" s="150"/>
      <c r="N2" s="150"/>
      <c r="O2" s="150"/>
      <c r="P2" s="150"/>
      <c r="Q2" s="157"/>
    </row>
    <row r="3" spans="1:18" ht="30.25" customHeight="1" x14ac:dyDescent="0.2">
      <c r="A3" s="87" t="s">
        <v>2</v>
      </c>
      <c r="B3" s="88"/>
      <c r="C3" s="37"/>
      <c r="D3" s="37"/>
      <c r="E3" s="37"/>
      <c r="F3" s="37"/>
      <c r="G3" s="37"/>
      <c r="H3" s="37"/>
      <c r="I3" s="37"/>
      <c r="J3" s="37"/>
      <c r="K3" s="37"/>
      <c r="L3" s="37"/>
      <c r="M3" s="37"/>
      <c r="N3" s="37"/>
      <c r="O3" s="37"/>
      <c r="P3" s="37"/>
      <c r="Q3" s="38"/>
    </row>
    <row r="4" spans="1:18" ht="30.25" customHeight="1" x14ac:dyDescent="0.2">
      <c r="A4" s="87" t="s">
        <v>3</v>
      </c>
      <c r="B4" s="88"/>
      <c r="C4" s="37"/>
      <c r="D4" s="37"/>
      <c r="E4" s="37"/>
      <c r="F4" s="37"/>
      <c r="G4" s="37"/>
      <c r="H4" s="37"/>
      <c r="I4" s="37"/>
      <c r="J4" s="37"/>
      <c r="K4" s="37"/>
      <c r="L4" s="37"/>
      <c r="M4" s="37"/>
      <c r="N4" s="37"/>
      <c r="O4" s="37"/>
      <c r="P4" s="37"/>
      <c r="Q4" s="38"/>
    </row>
    <row r="5" spans="1:18" ht="36.75" customHeight="1" x14ac:dyDescent="0.2">
      <c r="A5" s="80" t="s">
        <v>33</v>
      </c>
      <c r="B5" s="81"/>
      <c r="C5" s="2">
        <v>45814</v>
      </c>
      <c r="D5" s="2">
        <v>45815</v>
      </c>
      <c r="E5" s="2">
        <v>45816</v>
      </c>
      <c r="F5" s="2">
        <v>45817</v>
      </c>
      <c r="G5" s="2">
        <v>45818</v>
      </c>
      <c r="H5" s="2">
        <v>45819</v>
      </c>
      <c r="I5" s="2">
        <v>45820</v>
      </c>
      <c r="J5" s="2">
        <v>45821</v>
      </c>
      <c r="K5" s="2">
        <v>45822</v>
      </c>
      <c r="L5" s="2">
        <v>45823</v>
      </c>
      <c r="M5" s="65" t="s">
        <v>7</v>
      </c>
      <c r="N5" s="65" t="s">
        <v>0</v>
      </c>
      <c r="O5" s="67" t="s">
        <v>4</v>
      </c>
      <c r="P5" s="67" t="s">
        <v>6</v>
      </c>
      <c r="Q5" s="67" t="s">
        <v>5</v>
      </c>
    </row>
    <row r="6" spans="1:18" ht="30.25" customHeight="1" x14ac:dyDescent="0.2">
      <c r="A6" s="80" t="s">
        <v>34</v>
      </c>
      <c r="B6" s="81"/>
      <c r="C6" s="3" t="s">
        <v>79</v>
      </c>
      <c r="D6" s="3" t="s">
        <v>80</v>
      </c>
      <c r="E6" s="3" t="s">
        <v>64</v>
      </c>
      <c r="F6" s="3" t="s">
        <v>65</v>
      </c>
      <c r="G6" s="3" t="s">
        <v>67</v>
      </c>
      <c r="H6" s="3" t="s">
        <v>66</v>
      </c>
      <c r="I6" s="3" t="s">
        <v>68</v>
      </c>
      <c r="J6" s="3" t="s">
        <v>79</v>
      </c>
      <c r="K6" s="3" t="s">
        <v>80</v>
      </c>
      <c r="L6" s="3" t="s">
        <v>64</v>
      </c>
      <c r="M6" s="66"/>
      <c r="N6" s="69"/>
      <c r="O6" s="68"/>
      <c r="P6" s="68"/>
      <c r="Q6" s="68"/>
    </row>
    <row r="7" spans="1:18" ht="30.25" customHeight="1" x14ac:dyDescent="0.2">
      <c r="A7" s="76" t="s">
        <v>63</v>
      </c>
      <c r="B7" s="77"/>
      <c r="C7" s="3">
        <v>0</v>
      </c>
      <c r="D7" s="3">
        <v>0</v>
      </c>
      <c r="E7" s="3">
        <v>0</v>
      </c>
      <c r="F7" s="3">
        <v>0</v>
      </c>
      <c r="G7" s="3">
        <v>0</v>
      </c>
      <c r="H7" s="3">
        <v>0</v>
      </c>
      <c r="I7" s="3">
        <v>0</v>
      </c>
      <c r="J7" s="3">
        <v>0</v>
      </c>
      <c r="K7" s="3">
        <v>0</v>
      </c>
      <c r="L7" s="3">
        <v>0</v>
      </c>
      <c r="M7" s="42">
        <f>SUM(C7:L7)</f>
        <v>0</v>
      </c>
      <c r="N7" s="11">
        <v>0</v>
      </c>
      <c r="O7" s="4"/>
      <c r="P7" s="4"/>
      <c r="Q7" s="4"/>
    </row>
    <row r="8" spans="1:18" s="5" customFormat="1" ht="30.25" customHeight="1" x14ac:dyDescent="0.15">
      <c r="A8" s="78" t="s">
        <v>72</v>
      </c>
      <c r="B8" s="79"/>
      <c r="C8" s="22"/>
      <c r="D8" s="22"/>
      <c r="E8" s="22"/>
      <c r="F8" s="22"/>
      <c r="G8" s="22"/>
      <c r="H8" s="22"/>
      <c r="I8" s="22"/>
      <c r="J8" s="22"/>
      <c r="K8" s="22"/>
      <c r="L8" s="22"/>
      <c r="M8" s="10">
        <f>SUM(C8:L8)</f>
        <v>0</v>
      </c>
      <c r="N8" s="52">
        <v>0</v>
      </c>
      <c r="O8" s="41">
        <f>N8*M8</f>
        <v>0</v>
      </c>
      <c r="P8" s="40">
        <f>+J$1</f>
        <v>0</v>
      </c>
      <c r="Q8" s="41">
        <f>O8*P8</f>
        <v>0</v>
      </c>
      <c r="R8" s="54" t="s">
        <v>82</v>
      </c>
    </row>
    <row r="9" spans="1:18" s="5" customFormat="1" ht="30.25" customHeight="1" x14ac:dyDescent="0.15">
      <c r="A9" s="78" t="s">
        <v>73</v>
      </c>
      <c r="B9" s="79"/>
      <c r="C9" s="22"/>
      <c r="D9" s="22"/>
      <c r="E9" s="22"/>
      <c r="F9" s="22"/>
      <c r="G9" s="22"/>
      <c r="H9" s="22"/>
      <c r="I9" s="22"/>
      <c r="J9" s="22"/>
      <c r="K9" s="22"/>
      <c r="L9" s="22"/>
      <c r="M9" s="10">
        <f t="shared" ref="M9:M11" si="0">SUM(C9:L9)</f>
        <v>0</v>
      </c>
      <c r="N9" s="52">
        <v>0</v>
      </c>
      <c r="O9" s="41">
        <f t="shared" ref="O9:O11" si="1">N9*M9</f>
        <v>0</v>
      </c>
      <c r="P9" s="40">
        <f t="shared" ref="P9:P14" si="2">+J$1</f>
        <v>0</v>
      </c>
      <c r="Q9" s="41">
        <f t="shared" ref="Q9:Q11" si="3">O9*P9</f>
        <v>0</v>
      </c>
      <c r="R9" s="55" t="s">
        <v>83</v>
      </c>
    </row>
    <row r="10" spans="1:18" s="5" customFormat="1" ht="30.25" customHeight="1" x14ac:dyDescent="0.15">
      <c r="A10" s="78" t="s">
        <v>74</v>
      </c>
      <c r="B10" s="79"/>
      <c r="C10" s="22"/>
      <c r="D10" s="22"/>
      <c r="E10" s="22"/>
      <c r="F10" s="22"/>
      <c r="G10" s="22"/>
      <c r="H10" s="22"/>
      <c r="I10" s="22"/>
      <c r="J10" s="22"/>
      <c r="K10" s="22"/>
      <c r="L10" s="22"/>
      <c r="M10" s="10">
        <f t="shared" si="0"/>
        <v>0</v>
      </c>
      <c r="N10" s="52">
        <v>0</v>
      </c>
      <c r="O10" s="41">
        <f t="shared" si="1"/>
        <v>0</v>
      </c>
      <c r="P10" s="40">
        <f t="shared" si="2"/>
        <v>0</v>
      </c>
      <c r="Q10" s="41">
        <f t="shared" si="3"/>
        <v>0</v>
      </c>
      <c r="R10" s="56" t="s">
        <v>84</v>
      </c>
    </row>
    <row r="11" spans="1:18" s="5" customFormat="1" ht="30.25" customHeight="1" x14ac:dyDescent="0.15">
      <c r="A11" s="78" t="s">
        <v>75</v>
      </c>
      <c r="B11" s="79"/>
      <c r="C11" s="22"/>
      <c r="D11" s="22"/>
      <c r="E11" s="22"/>
      <c r="F11" s="22"/>
      <c r="G11" s="22"/>
      <c r="H11" s="22"/>
      <c r="I11" s="22"/>
      <c r="J11" s="22"/>
      <c r="K11" s="22"/>
      <c r="L11" s="22"/>
      <c r="M11" s="10">
        <f t="shared" si="0"/>
        <v>0</v>
      </c>
      <c r="N11" s="52">
        <v>0</v>
      </c>
      <c r="O11" s="41">
        <f t="shared" si="1"/>
        <v>0</v>
      </c>
      <c r="P11" s="40">
        <f t="shared" si="2"/>
        <v>0</v>
      </c>
      <c r="Q11" s="41">
        <f t="shared" si="3"/>
        <v>0</v>
      </c>
    </row>
    <row r="12" spans="1:18" s="6" customFormat="1" ht="30.25" customHeight="1" x14ac:dyDescent="0.15">
      <c r="A12" s="78" t="s">
        <v>76</v>
      </c>
      <c r="B12" s="79"/>
      <c r="C12" s="43"/>
      <c r="D12" s="43"/>
      <c r="E12" s="43"/>
      <c r="F12" s="43"/>
      <c r="G12" s="43"/>
      <c r="H12" s="43"/>
      <c r="I12" s="43"/>
      <c r="J12" s="43"/>
      <c r="K12" s="43"/>
      <c r="L12" s="43"/>
      <c r="M12" s="10">
        <f t="shared" ref="M12:M14" si="4">SUM(C12:L12)</f>
        <v>0</v>
      </c>
      <c r="N12" s="53">
        <v>0</v>
      </c>
      <c r="O12" s="41">
        <f t="shared" ref="O12:O13" si="5">N12*M12</f>
        <v>0</v>
      </c>
      <c r="P12" s="40">
        <f t="shared" si="2"/>
        <v>0</v>
      </c>
      <c r="Q12" s="39">
        <f>O12*P12</f>
        <v>0</v>
      </c>
    </row>
    <row r="13" spans="1:18" s="6" customFormat="1" ht="30.25" customHeight="1" x14ac:dyDescent="0.15">
      <c r="A13" s="78" t="s">
        <v>77</v>
      </c>
      <c r="B13" s="79"/>
      <c r="C13" s="43"/>
      <c r="D13" s="43"/>
      <c r="E13" s="43"/>
      <c r="F13" s="43"/>
      <c r="G13" s="43"/>
      <c r="H13" s="43"/>
      <c r="I13" s="43"/>
      <c r="J13" s="43"/>
      <c r="K13" s="43"/>
      <c r="L13" s="43"/>
      <c r="M13" s="10">
        <f t="shared" si="4"/>
        <v>0</v>
      </c>
      <c r="N13" s="53">
        <v>0</v>
      </c>
      <c r="O13" s="41">
        <f t="shared" si="5"/>
        <v>0</v>
      </c>
      <c r="P13" s="40">
        <f t="shared" si="2"/>
        <v>0</v>
      </c>
      <c r="Q13" s="39">
        <f>O13*P13</f>
        <v>0</v>
      </c>
    </row>
    <row r="14" spans="1:18" s="6" customFormat="1" ht="30.25" customHeight="1" x14ac:dyDescent="0.15">
      <c r="A14" s="78" t="s">
        <v>78</v>
      </c>
      <c r="B14" s="79"/>
      <c r="C14" s="43"/>
      <c r="D14" s="43"/>
      <c r="E14" s="43"/>
      <c r="F14" s="43"/>
      <c r="G14" s="43"/>
      <c r="H14" s="43"/>
      <c r="I14" s="43"/>
      <c r="J14" s="43"/>
      <c r="K14" s="43"/>
      <c r="L14" s="43"/>
      <c r="M14" s="10">
        <f t="shared" si="4"/>
        <v>0</v>
      </c>
      <c r="N14" s="53">
        <v>0</v>
      </c>
      <c r="O14" s="41">
        <f>N14*M14</f>
        <v>0</v>
      </c>
      <c r="P14" s="40">
        <f t="shared" si="2"/>
        <v>0</v>
      </c>
      <c r="Q14" s="39">
        <f>O14*P14</f>
        <v>0</v>
      </c>
    </row>
    <row r="15" spans="1:18" s="6" customFormat="1" ht="30.25" customHeight="1" x14ac:dyDescent="0.15">
      <c r="A15" s="117" t="s">
        <v>61</v>
      </c>
      <c r="B15" s="118"/>
      <c r="C15" s="7">
        <f>SUM(C8:C14)</f>
        <v>0</v>
      </c>
      <c r="D15" s="7">
        <f t="shared" ref="D15:L15" si="6">SUM(D8:D14)</f>
        <v>0</v>
      </c>
      <c r="E15" s="7">
        <f t="shared" si="6"/>
        <v>0</v>
      </c>
      <c r="F15" s="7">
        <f t="shared" si="6"/>
        <v>0</v>
      </c>
      <c r="G15" s="7">
        <f t="shared" si="6"/>
        <v>0</v>
      </c>
      <c r="H15" s="7">
        <f t="shared" si="6"/>
        <v>0</v>
      </c>
      <c r="I15" s="7">
        <f t="shared" si="6"/>
        <v>0</v>
      </c>
      <c r="J15" s="7">
        <f t="shared" si="6"/>
        <v>0</v>
      </c>
      <c r="K15" s="7">
        <f t="shared" si="6"/>
        <v>0</v>
      </c>
      <c r="L15" s="7">
        <f t="shared" si="6"/>
        <v>0</v>
      </c>
      <c r="M15" s="8">
        <f>SUM(M8:M14)</f>
        <v>0</v>
      </c>
      <c r="N15" s="114"/>
      <c r="O15" s="115"/>
      <c r="P15" s="115"/>
      <c r="Q15" s="116"/>
    </row>
    <row r="16" spans="1:18" s="6" customFormat="1" ht="30.25" customHeight="1" x14ac:dyDescent="0.15">
      <c r="A16" s="70" t="s">
        <v>55</v>
      </c>
      <c r="B16" s="71"/>
      <c r="C16" s="43"/>
      <c r="D16" s="43"/>
      <c r="E16" s="43"/>
      <c r="F16" s="43"/>
      <c r="G16" s="43"/>
      <c r="H16" s="43"/>
      <c r="I16" s="43"/>
      <c r="J16" s="43"/>
      <c r="K16" s="43"/>
      <c r="L16" s="43"/>
      <c r="M16" s="10">
        <f t="shared" ref="M16:M17" si="7">SUM(C16:L16)</f>
        <v>0</v>
      </c>
      <c r="N16" s="121" t="s">
        <v>10</v>
      </c>
      <c r="O16" s="122"/>
      <c r="P16" s="122"/>
      <c r="Q16" s="123"/>
    </row>
    <row r="17" spans="1:19" s="6" customFormat="1" ht="30.25" customHeight="1" x14ac:dyDescent="0.15">
      <c r="A17" s="70" t="s">
        <v>56</v>
      </c>
      <c r="B17" s="71"/>
      <c r="C17" s="43"/>
      <c r="D17" s="43"/>
      <c r="E17" s="43"/>
      <c r="F17" s="43"/>
      <c r="G17" s="43"/>
      <c r="H17" s="43"/>
      <c r="I17" s="43"/>
      <c r="J17" s="43"/>
      <c r="K17" s="43"/>
      <c r="L17" s="43"/>
      <c r="M17" s="10">
        <f t="shared" si="7"/>
        <v>0</v>
      </c>
      <c r="N17" s="53">
        <v>0</v>
      </c>
      <c r="O17" s="39">
        <f>N17*M17</f>
        <v>0</v>
      </c>
      <c r="P17" s="40">
        <f>+J$1</f>
        <v>0</v>
      </c>
      <c r="Q17" s="39">
        <f>O17*P17</f>
        <v>0</v>
      </c>
    </row>
    <row r="18" spans="1:19" s="6" customFormat="1" ht="30.25" customHeight="1" x14ac:dyDescent="0.15">
      <c r="A18" s="119" t="s">
        <v>48</v>
      </c>
      <c r="B18" s="120"/>
      <c r="C18" s="9">
        <f>SUM(C16:C17)</f>
        <v>0</v>
      </c>
      <c r="D18" s="9">
        <f t="shared" ref="D18:M18" si="8">SUM(D16:D17)</f>
        <v>0</v>
      </c>
      <c r="E18" s="9">
        <f t="shared" si="8"/>
        <v>0</v>
      </c>
      <c r="F18" s="9">
        <f t="shared" si="8"/>
        <v>0</v>
      </c>
      <c r="G18" s="9">
        <f t="shared" si="8"/>
        <v>0</v>
      </c>
      <c r="H18" s="9">
        <f t="shared" si="8"/>
        <v>0</v>
      </c>
      <c r="I18" s="9">
        <f t="shared" si="8"/>
        <v>0</v>
      </c>
      <c r="J18" s="9">
        <f t="shared" si="8"/>
        <v>0</v>
      </c>
      <c r="K18" s="9">
        <f t="shared" si="8"/>
        <v>0</v>
      </c>
      <c r="L18" s="9">
        <f t="shared" si="8"/>
        <v>0</v>
      </c>
      <c r="M18" s="10">
        <f t="shared" si="8"/>
        <v>0</v>
      </c>
      <c r="N18" s="125"/>
      <c r="O18" s="126"/>
      <c r="P18" s="126"/>
      <c r="Q18" s="127"/>
    </row>
    <row r="19" spans="1:19" s="6" customFormat="1" ht="30.25" customHeight="1" x14ac:dyDescent="0.15">
      <c r="A19" s="70" t="s">
        <v>9</v>
      </c>
      <c r="B19" s="71"/>
      <c r="C19" s="10">
        <f>C15+C18</f>
        <v>0</v>
      </c>
      <c r="D19" s="10">
        <f t="shared" ref="D19:L19" si="9">D15+D18</f>
        <v>0</v>
      </c>
      <c r="E19" s="10">
        <f t="shared" si="9"/>
        <v>0</v>
      </c>
      <c r="F19" s="10">
        <f t="shared" si="9"/>
        <v>0</v>
      </c>
      <c r="G19" s="10">
        <f t="shared" si="9"/>
        <v>0</v>
      </c>
      <c r="H19" s="10">
        <f t="shared" si="9"/>
        <v>0</v>
      </c>
      <c r="I19" s="10">
        <f t="shared" si="9"/>
        <v>0</v>
      </c>
      <c r="J19" s="10">
        <f t="shared" si="9"/>
        <v>0</v>
      </c>
      <c r="K19" s="10">
        <f t="shared" si="9"/>
        <v>0</v>
      </c>
      <c r="L19" s="10">
        <f t="shared" si="9"/>
        <v>0</v>
      </c>
      <c r="M19" s="10">
        <f>M15+M18</f>
        <v>0</v>
      </c>
      <c r="N19" s="142"/>
      <c r="O19" s="143"/>
      <c r="P19" s="143"/>
      <c r="Q19" s="144"/>
    </row>
    <row r="20" spans="1:19" s="6" customFormat="1" ht="30.25" customHeight="1" x14ac:dyDescent="0.15">
      <c r="A20" s="70" t="s">
        <v>41</v>
      </c>
      <c r="B20" s="71"/>
      <c r="C20" s="43"/>
      <c r="D20" s="43"/>
      <c r="E20" s="43"/>
      <c r="F20" s="43"/>
      <c r="G20" s="43"/>
      <c r="H20" s="43"/>
      <c r="I20" s="43"/>
      <c r="J20" s="43"/>
      <c r="K20" s="43"/>
      <c r="L20" s="44"/>
      <c r="M20" s="10">
        <f>SUM(C20:L20)</f>
        <v>0</v>
      </c>
      <c r="N20" s="61">
        <v>0</v>
      </c>
      <c r="O20" s="57">
        <f>M20*N20</f>
        <v>0</v>
      </c>
      <c r="P20" s="40">
        <f t="shared" ref="P20:P21" si="10">+J$1</f>
        <v>0</v>
      </c>
      <c r="Q20" s="58">
        <f>P20*O20</f>
        <v>0</v>
      </c>
    </row>
    <row r="21" spans="1:19" s="6" customFormat="1" ht="30.25" customHeight="1" x14ac:dyDescent="0.15">
      <c r="A21" s="70" t="s">
        <v>26</v>
      </c>
      <c r="B21" s="71"/>
      <c r="C21" s="43"/>
      <c r="D21" s="43"/>
      <c r="E21" s="43"/>
      <c r="F21" s="43"/>
      <c r="G21" s="43"/>
      <c r="H21" s="43"/>
      <c r="I21" s="43"/>
      <c r="J21" s="43"/>
      <c r="K21" s="43"/>
      <c r="L21" s="44"/>
      <c r="M21" s="10">
        <f t="shared" ref="M21" si="11">SUM(C21:L21)</f>
        <v>0</v>
      </c>
      <c r="N21" s="62">
        <v>0</v>
      </c>
      <c r="O21" s="59">
        <f t="shared" ref="O21" si="12">M21*N21</f>
        <v>0</v>
      </c>
      <c r="P21" s="40">
        <f t="shared" si="10"/>
        <v>0</v>
      </c>
      <c r="Q21" s="60">
        <f>P21*O21</f>
        <v>0</v>
      </c>
    </row>
    <row r="22" spans="1:19" x14ac:dyDescent="0.2">
      <c r="A22" s="12"/>
      <c r="B22" s="13"/>
      <c r="Q22" s="14"/>
    </row>
    <row r="23" spans="1:19" ht="30.25" customHeight="1" x14ac:dyDescent="0.2">
      <c r="A23" s="132" t="s">
        <v>54</v>
      </c>
      <c r="B23" s="133"/>
      <c r="C23" s="83" t="s">
        <v>47</v>
      </c>
      <c r="D23" s="113"/>
      <c r="E23" s="113"/>
      <c r="F23" s="113"/>
      <c r="G23" s="82" t="s">
        <v>15</v>
      </c>
      <c r="H23" s="113"/>
      <c r="I23" s="113"/>
      <c r="J23" s="113"/>
      <c r="K23" s="82" t="s">
        <v>85</v>
      </c>
      <c r="L23" s="83"/>
      <c r="M23" s="84" t="s">
        <v>86</v>
      </c>
      <c r="N23" s="84"/>
      <c r="O23" s="103" t="s">
        <v>11</v>
      </c>
      <c r="P23" s="104"/>
      <c r="Q23" s="147"/>
    </row>
    <row r="24" spans="1:19" ht="53" customHeight="1" x14ac:dyDescent="0.2">
      <c r="A24" s="128"/>
      <c r="B24" s="129"/>
      <c r="C24" s="101" t="s">
        <v>49</v>
      </c>
      <c r="D24" s="100"/>
      <c r="E24" s="111">
        <v>0</v>
      </c>
      <c r="F24" s="112"/>
      <c r="G24" s="74" t="s">
        <v>16</v>
      </c>
      <c r="H24" s="100"/>
      <c r="I24" s="72">
        <v>0</v>
      </c>
      <c r="J24" s="73"/>
      <c r="K24" s="74" t="s">
        <v>25</v>
      </c>
      <c r="L24" s="75"/>
      <c r="M24" s="72">
        <v>0</v>
      </c>
      <c r="N24" s="145"/>
      <c r="O24" s="146" t="s">
        <v>35</v>
      </c>
      <c r="P24" s="146"/>
      <c r="Q24" s="45">
        <f>SUM(O8:O14)</f>
        <v>0</v>
      </c>
      <c r="R24" s="15"/>
    </row>
    <row r="25" spans="1:19" ht="42" customHeight="1" x14ac:dyDescent="0.2">
      <c r="A25" s="128"/>
      <c r="B25" s="129"/>
      <c r="C25" s="101" t="s">
        <v>50</v>
      </c>
      <c r="D25" s="100"/>
      <c r="E25" s="134">
        <v>0</v>
      </c>
      <c r="F25" s="135"/>
      <c r="G25" s="74" t="s">
        <v>8</v>
      </c>
      <c r="H25" s="100"/>
      <c r="I25" s="134">
        <v>0</v>
      </c>
      <c r="J25" s="135"/>
      <c r="K25" s="74" t="s">
        <v>23</v>
      </c>
      <c r="L25" s="75"/>
      <c r="M25" s="134">
        <v>0</v>
      </c>
      <c r="N25" s="135"/>
      <c r="O25" s="146" t="s">
        <v>36</v>
      </c>
      <c r="P25" s="146"/>
      <c r="Q25" s="45">
        <f>SUM(Q8:Q14)</f>
        <v>0</v>
      </c>
    </row>
    <row r="26" spans="1:19" ht="39.75" customHeight="1" x14ac:dyDescent="0.2">
      <c r="A26" s="128"/>
      <c r="B26" s="129"/>
      <c r="C26" s="140" t="s">
        <v>51</v>
      </c>
      <c r="D26" s="141"/>
      <c r="E26" s="136">
        <f>E24*E25</f>
        <v>0</v>
      </c>
      <c r="F26" s="137"/>
      <c r="G26" s="109" t="s">
        <v>17</v>
      </c>
      <c r="H26" s="141"/>
      <c r="I26" s="136">
        <f>I24*I25</f>
        <v>0</v>
      </c>
      <c r="J26" s="137"/>
      <c r="K26" s="74" t="s">
        <v>24</v>
      </c>
      <c r="L26" s="75"/>
      <c r="M26" s="136">
        <f>M24*M25</f>
        <v>0</v>
      </c>
      <c r="N26" s="137"/>
      <c r="O26" s="146" t="s">
        <v>53</v>
      </c>
      <c r="P26" s="146"/>
      <c r="Q26" s="45">
        <f>O17</f>
        <v>0</v>
      </c>
    </row>
    <row r="27" spans="1:19" ht="39.75" customHeight="1" x14ac:dyDescent="0.2">
      <c r="A27" s="128"/>
      <c r="B27" s="129"/>
      <c r="C27" s="101" t="s">
        <v>57</v>
      </c>
      <c r="D27" s="138"/>
      <c r="E27" s="138"/>
      <c r="F27" s="138"/>
      <c r="G27" s="74" t="s">
        <v>58</v>
      </c>
      <c r="H27" s="101"/>
      <c r="I27" s="139"/>
      <c r="J27" s="75"/>
      <c r="K27" s="74" t="s">
        <v>59</v>
      </c>
      <c r="L27" s="101"/>
      <c r="M27" s="101"/>
      <c r="N27" s="100"/>
      <c r="O27" s="101" t="s">
        <v>52</v>
      </c>
      <c r="P27" s="102"/>
      <c r="Q27" s="45">
        <f>Q17</f>
        <v>0</v>
      </c>
    </row>
    <row r="28" spans="1:19" ht="51" customHeight="1" x14ac:dyDescent="0.2">
      <c r="A28" s="128"/>
      <c r="B28" s="129"/>
      <c r="C28" s="101" t="s">
        <v>13</v>
      </c>
      <c r="D28" s="100"/>
      <c r="E28" s="107">
        <v>0</v>
      </c>
      <c r="F28" s="108"/>
      <c r="G28" s="109" t="s">
        <v>32</v>
      </c>
      <c r="H28" s="110"/>
      <c r="I28" s="107">
        <v>0</v>
      </c>
      <c r="J28" s="108"/>
      <c r="K28" s="109" t="s">
        <v>14</v>
      </c>
      <c r="L28" s="124"/>
      <c r="M28" s="111">
        <v>0</v>
      </c>
      <c r="N28" s="112"/>
      <c r="O28" s="101" t="s">
        <v>42</v>
      </c>
      <c r="P28" s="102"/>
      <c r="Q28" s="45">
        <f>Q20</f>
        <v>0</v>
      </c>
    </row>
    <row r="29" spans="1:19" ht="62" customHeight="1" x14ac:dyDescent="0.2">
      <c r="A29" s="130"/>
      <c r="B29" s="131"/>
      <c r="C29" s="101" t="s">
        <v>45</v>
      </c>
      <c r="D29" s="100"/>
      <c r="E29" s="107">
        <v>0</v>
      </c>
      <c r="F29" s="108"/>
      <c r="G29" s="49"/>
      <c r="H29" s="49"/>
      <c r="I29" s="49"/>
      <c r="J29" s="49"/>
      <c r="K29" s="16"/>
      <c r="L29" s="16"/>
      <c r="M29" s="16"/>
      <c r="N29" s="17"/>
      <c r="O29" s="101" t="s">
        <v>43</v>
      </c>
      <c r="P29" s="100"/>
      <c r="Q29" s="45">
        <f>Q21</f>
        <v>0</v>
      </c>
    </row>
    <row r="30" spans="1:19" ht="39.25" customHeight="1" x14ac:dyDescent="0.2">
      <c r="A30" s="18"/>
      <c r="B30" s="18"/>
      <c r="C30" s="18"/>
      <c r="D30" s="18"/>
      <c r="E30" s="19"/>
      <c r="F30" s="19"/>
      <c r="G30" s="50"/>
      <c r="H30" s="51"/>
      <c r="I30" s="48"/>
      <c r="J30" s="48"/>
      <c r="K30" s="20"/>
      <c r="L30" s="20"/>
      <c r="M30" s="20"/>
      <c r="N30" s="21"/>
      <c r="O30" s="74" t="s">
        <v>62</v>
      </c>
      <c r="P30" s="100"/>
      <c r="Q30" s="45">
        <f>E26*J1</f>
        <v>0</v>
      </c>
    </row>
    <row r="31" spans="1:19" ht="39.75" customHeight="1" x14ac:dyDescent="0.2">
      <c r="A31" s="103" t="s">
        <v>31</v>
      </c>
      <c r="B31" s="104"/>
      <c r="C31" s="104"/>
      <c r="D31" s="104"/>
      <c r="E31" s="104"/>
      <c r="F31" s="104"/>
      <c r="G31" s="104"/>
      <c r="H31" s="104"/>
      <c r="I31" s="104"/>
      <c r="J31" s="104"/>
      <c r="K31" s="105"/>
      <c r="L31" s="105"/>
      <c r="M31" s="105"/>
      <c r="N31" s="105"/>
      <c r="O31" s="74" t="s">
        <v>44</v>
      </c>
      <c r="P31" s="100"/>
      <c r="Q31" s="45">
        <f>I26*J1</f>
        <v>0</v>
      </c>
    </row>
    <row r="32" spans="1:19" ht="39.25" customHeight="1" x14ac:dyDescent="0.2">
      <c r="A32" s="92" t="s">
        <v>27</v>
      </c>
      <c r="B32" s="93"/>
      <c r="C32" s="22" t="s">
        <v>28</v>
      </c>
      <c r="D32" s="94"/>
      <c r="E32" s="95"/>
      <c r="F32" s="96"/>
      <c r="G32" s="23" t="s">
        <v>29</v>
      </c>
      <c r="H32" s="106"/>
      <c r="I32" s="95"/>
      <c r="J32" s="96"/>
      <c r="K32" s="23" t="s">
        <v>30</v>
      </c>
      <c r="L32" s="97"/>
      <c r="M32" s="95"/>
      <c r="N32" s="96"/>
      <c r="O32" s="74" t="s">
        <v>46</v>
      </c>
      <c r="P32" s="100"/>
      <c r="Q32" s="45">
        <f>M26*J1</f>
        <v>0</v>
      </c>
      <c r="R32" s="24" t="s">
        <v>70</v>
      </c>
      <c r="S32" s="36" t="s">
        <v>71</v>
      </c>
    </row>
    <row r="33" spans="1:19" ht="39.25" customHeight="1" x14ac:dyDescent="0.2">
      <c r="A33" s="92" t="s">
        <v>18</v>
      </c>
      <c r="B33" s="93"/>
      <c r="C33" s="22" t="s">
        <v>28</v>
      </c>
      <c r="D33" s="94"/>
      <c r="E33" s="95"/>
      <c r="F33" s="96"/>
      <c r="G33" s="23" t="s">
        <v>29</v>
      </c>
      <c r="H33" s="94"/>
      <c r="I33" s="95"/>
      <c r="J33" s="96"/>
      <c r="K33" s="23" t="s">
        <v>30</v>
      </c>
      <c r="L33" s="97"/>
      <c r="M33" s="95"/>
      <c r="N33" s="96"/>
      <c r="O33" s="74" t="s">
        <v>12</v>
      </c>
      <c r="P33" s="100"/>
      <c r="Q33" s="45">
        <f>Q25+Q27+Q28+Q29-Q30-Q31-Q32</f>
        <v>0</v>
      </c>
      <c r="R33" s="46" t="e">
        <f>+Q33/J1</f>
        <v>#DIV/0!</v>
      </c>
      <c r="S33" s="47" t="e">
        <f>+R33/(M19+M20+M21)</f>
        <v>#DIV/0!</v>
      </c>
    </row>
    <row r="35" spans="1:19" ht="57.75" customHeight="1" x14ac:dyDescent="0.2">
      <c r="A35" s="74" t="s">
        <v>60</v>
      </c>
      <c r="B35" s="98"/>
      <c r="C35" s="98"/>
      <c r="D35" s="98"/>
      <c r="E35" s="98"/>
      <c r="F35" s="98"/>
      <c r="G35" s="98"/>
      <c r="H35" s="98"/>
      <c r="I35" s="98"/>
      <c r="J35" s="98"/>
      <c r="K35" s="98"/>
      <c r="L35" s="98"/>
      <c r="M35" s="98"/>
      <c r="N35" s="98"/>
      <c r="O35" s="98"/>
      <c r="P35" s="98"/>
      <c r="Q35" s="99"/>
    </row>
    <row r="37" spans="1:19" ht="30.25" customHeight="1" x14ac:dyDescent="0.2">
      <c r="D37" s="89" t="s">
        <v>19</v>
      </c>
      <c r="E37" s="90"/>
      <c r="F37" s="90"/>
      <c r="G37" s="90"/>
      <c r="H37" s="90"/>
      <c r="I37" s="90"/>
      <c r="J37" s="90"/>
      <c r="K37" s="90"/>
      <c r="L37" s="90"/>
      <c r="M37" s="91"/>
      <c r="N37" s="25"/>
    </row>
    <row r="38" spans="1:19" ht="34.5" customHeight="1" x14ac:dyDescent="0.2">
      <c r="D38" s="63" t="s">
        <v>20</v>
      </c>
      <c r="E38" s="63" t="s">
        <v>22</v>
      </c>
      <c r="F38" s="63" t="s">
        <v>37</v>
      </c>
      <c r="G38" s="63" t="s">
        <v>39</v>
      </c>
      <c r="H38" s="64" t="s">
        <v>38</v>
      </c>
      <c r="I38" s="63" t="s">
        <v>0</v>
      </c>
      <c r="J38" s="63" t="s">
        <v>4</v>
      </c>
      <c r="K38" s="63" t="s">
        <v>40</v>
      </c>
      <c r="L38" s="63" t="s">
        <v>6</v>
      </c>
      <c r="M38" s="63" t="s">
        <v>21</v>
      </c>
    </row>
    <row r="39" spans="1:19" ht="15" customHeight="1" x14ac:dyDescent="0.2">
      <c r="D39" s="26"/>
      <c r="E39" s="26"/>
      <c r="F39" s="26"/>
      <c r="G39" s="26"/>
      <c r="H39" s="27"/>
      <c r="I39" s="28"/>
      <c r="J39" s="28"/>
      <c r="K39" s="26"/>
      <c r="L39" s="29"/>
      <c r="M39" s="30"/>
    </row>
    <row r="40" spans="1:19" ht="15" customHeight="1" x14ac:dyDescent="0.2">
      <c r="D40" s="26"/>
      <c r="E40" s="26"/>
      <c r="F40" s="26"/>
      <c r="G40" s="26"/>
      <c r="H40" s="27"/>
      <c r="I40" s="28"/>
      <c r="J40" s="28"/>
      <c r="K40" s="26"/>
      <c r="L40" s="29"/>
      <c r="M40" s="30"/>
    </row>
    <row r="41" spans="1:19" ht="15" customHeight="1" x14ac:dyDescent="0.2">
      <c r="D41" s="26"/>
      <c r="E41" s="26"/>
      <c r="F41" s="26"/>
      <c r="G41" s="26"/>
      <c r="H41" s="27"/>
      <c r="I41" s="28"/>
      <c r="J41" s="28"/>
      <c r="K41" s="26"/>
      <c r="L41" s="29"/>
      <c r="M41" s="30"/>
    </row>
    <row r="42" spans="1:19" ht="15" customHeight="1" x14ac:dyDescent="0.2">
      <c r="D42" s="26"/>
      <c r="E42" s="26"/>
      <c r="F42" s="26"/>
      <c r="G42" s="26"/>
      <c r="H42" s="27"/>
      <c r="I42" s="28"/>
      <c r="J42" s="28"/>
      <c r="K42" s="26"/>
      <c r="L42" s="29"/>
      <c r="M42" s="30"/>
    </row>
    <row r="43" spans="1:19" ht="15" customHeight="1" x14ac:dyDescent="0.2">
      <c r="D43" s="26"/>
      <c r="E43" s="26"/>
      <c r="F43" s="26"/>
      <c r="G43" s="26"/>
      <c r="H43" s="27"/>
      <c r="I43" s="28"/>
      <c r="J43" s="28"/>
      <c r="K43" s="26"/>
      <c r="L43" s="29"/>
      <c r="M43" s="30"/>
    </row>
    <row r="44" spans="1:19" ht="15" customHeight="1" x14ac:dyDescent="0.2">
      <c r="D44" s="26"/>
      <c r="E44" s="26"/>
      <c r="F44" s="26"/>
      <c r="G44" s="26"/>
      <c r="H44" s="27"/>
      <c r="I44" s="28"/>
      <c r="J44" s="28"/>
      <c r="K44" s="26"/>
      <c r="L44" s="29"/>
      <c r="M44" s="30"/>
    </row>
    <row r="45" spans="1:19" ht="15" customHeight="1" x14ac:dyDescent="0.2">
      <c r="D45" s="26"/>
      <c r="E45" s="26"/>
      <c r="F45" s="26"/>
      <c r="G45" s="26"/>
      <c r="H45" s="27"/>
      <c r="I45" s="28"/>
      <c r="J45" s="28"/>
      <c r="K45" s="26"/>
      <c r="L45" s="29"/>
      <c r="M45" s="30"/>
    </row>
    <row r="46" spans="1:19" ht="15" customHeight="1" x14ac:dyDescent="0.2">
      <c r="D46" s="26"/>
      <c r="E46" s="26"/>
      <c r="F46" s="26"/>
      <c r="G46" s="26"/>
      <c r="H46" s="27"/>
      <c r="I46" s="28"/>
      <c r="J46" s="28"/>
      <c r="K46" s="26"/>
      <c r="L46" s="29"/>
      <c r="M46" s="30"/>
    </row>
    <row r="47" spans="1:19" ht="15" customHeight="1" x14ac:dyDescent="0.2">
      <c r="D47" s="26"/>
      <c r="E47" s="26"/>
      <c r="F47" s="26"/>
      <c r="G47" s="26"/>
      <c r="H47" s="27"/>
      <c r="I47" s="28"/>
      <c r="J47" s="28"/>
      <c r="K47" s="26"/>
      <c r="L47" s="29"/>
      <c r="M47" s="30"/>
    </row>
    <row r="48" spans="1:19" ht="15" customHeight="1" x14ac:dyDescent="0.2">
      <c r="D48" s="26"/>
      <c r="E48" s="26"/>
      <c r="F48" s="26"/>
      <c r="G48" s="26"/>
      <c r="H48" s="27"/>
      <c r="I48" s="28"/>
      <c r="J48" s="28"/>
      <c r="K48" s="26"/>
      <c r="L48" s="29"/>
      <c r="M48" s="30"/>
    </row>
    <row r="49" spans="4:14" ht="15" customHeight="1" x14ac:dyDescent="0.2">
      <c r="D49" s="26"/>
      <c r="E49" s="26"/>
      <c r="F49" s="26"/>
      <c r="G49" s="26"/>
      <c r="H49" s="27"/>
      <c r="I49" s="28"/>
      <c r="J49" s="28"/>
      <c r="K49" s="26"/>
      <c r="L49" s="29"/>
      <c r="M49" s="30"/>
    </row>
    <row r="50" spans="4:14" ht="15" customHeight="1" x14ac:dyDescent="0.2">
      <c r="D50" s="26"/>
      <c r="E50" s="26"/>
      <c r="F50" s="26"/>
      <c r="G50" s="26"/>
      <c r="H50" s="27"/>
      <c r="I50" s="28"/>
      <c r="J50" s="28"/>
      <c r="K50" s="26"/>
      <c r="L50" s="29"/>
      <c r="M50" s="30"/>
    </row>
    <row r="51" spans="4:14" ht="15" customHeight="1" x14ac:dyDescent="0.2">
      <c r="D51" s="26"/>
      <c r="E51" s="26"/>
      <c r="F51" s="26"/>
      <c r="G51" s="26"/>
      <c r="H51" s="27"/>
      <c r="I51" s="28"/>
      <c r="J51" s="28"/>
      <c r="K51" s="26"/>
      <c r="L51" s="29"/>
      <c r="M51" s="30"/>
    </row>
    <row r="52" spans="4:14" ht="15" customHeight="1" x14ac:dyDescent="0.2">
      <c r="D52" s="26"/>
      <c r="E52" s="26"/>
      <c r="F52" s="26"/>
      <c r="G52" s="26"/>
      <c r="H52" s="27"/>
      <c r="I52" s="28"/>
      <c r="J52" s="28"/>
      <c r="K52" s="26"/>
      <c r="L52" s="29"/>
      <c r="M52" s="30"/>
    </row>
    <row r="53" spans="4:14" ht="15" customHeight="1" x14ac:dyDescent="0.2">
      <c r="D53" s="26"/>
      <c r="E53" s="26"/>
      <c r="F53" s="26"/>
      <c r="G53" s="26"/>
      <c r="H53" s="27"/>
      <c r="I53" s="28"/>
      <c r="J53" s="28"/>
      <c r="K53" s="26"/>
      <c r="L53" s="29"/>
      <c r="M53" s="30"/>
    </row>
    <row r="54" spans="4:14" ht="15" customHeight="1" x14ac:dyDescent="0.2">
      <c r="D54" s="26"/>
      <c r="E54" s="26"/>
      <c r="F54" s="26"/>
      <c r="G54" s="26"/>
      <c r="H54" s="27"/>
      <c r="I54" s="28"/>
      <c r="J54" s="28"/>
      <c r="K54" s="26"/>
      <c r="L54" s="29"/>
      <c r="M54" s="30"/>
    </row>
    <row r="55" spans="4:14" ht="15" customHeight="1" x14ac:dyDescent="0.2">
      <c r="D55" s="26"/>
      <c r="E55" s="26"/>
      <c r="F55" s="26"/>
      <c r="G55" s="26"/>
      <c r="H55" s="27"/>
      <c r="I55" s="28"/>
      <c r="J55" s="28"/>
      <c r="K55" s="26"/>
      <c r="L55" s="29"/>
      <c r="M55" s="30"/>
    </row>
    <row r="56" spans="4:14" ht="15" customHeight="1" x14ac:dyDescent="0.2">
      <c r="D56" s="26"/>
      <c r="E56" s="26"/>
      <c r="F56" s="26"/>
      <c r="G56" s="26"/>
      <c r="H56" s="27"/>
      <c r="I56" s="28"/>
      <c r="J56" s="28"/>
      <c r="K56" s="26"/>
      <c r="L56" s="29"/>
      <c r="M56" s="30"/>
    </row>
    <row r="57" spans="4:14" ht="15" customHeight="1" x14ac:dyDescent="0.2">
      <c r="D57" s="26"/>
      <c r="E57" s="26"/>
      <c r="F57" s="26"/>
      <c r="G57" s="26"/>
      <c r="H57" s="27"/>
      <c r="I57" s="28"/>
      <c r="J57" s="28"/>
      <c r="K57" s="26"/>
      <c r="L57" s="29"/>
      <c r="M57" s="30"/>
    </row>
    <row r="58" spans="4:14" ht="15" customHeight="1" x14ac:dyDescent="0.2">
      <c r="D58" s="26"/>
      <c r="E58" s="26"/>
      <c r="F58" s="26"/>
      <c r="G58" s="26"/>
      <c r="H58" s="27"/>
      <c r="I58" s="28"/>
      <c r="J58" s="28"/>
      <c r="K58" s="26"/>
      <c r="L58" s="29"/>
      <c r="M58" s="30"/>
    </row>
    <row r="59" spans="4:14" ht="15" customHeight="1" x14ac:dyDescent="0.2">
      <c r="D59" s="26"/>
      <c r="E59" s="26"/>
      <c r="F59" s="26"/>
      <c r="G59" s="26"/>
      <c r="H59" s="27"/>
      <c r="I59" s="28"/>
      <c r="J59" s="28"/>
      <c r="K59" s="26"/>
      <c r="L59" s="29"/>
      <c r="M59" s="30"/>
    </row>
    <row r="60" spans="4:14" ht="15" customHeight="1" x14ac:dyDescent="0.2">
      <c r="D60" s="26"/>
      <c r="E60" s="26"/>
      <c r="F60" s="26"/>
      <c r="G60" s="26"/>
      <c r="H60" s="27"/>
      <c r="I60" s="28"/>
      <c r="J60" s="28"/>
      <c r="K60" s="26"/>
      <c r="L60" s="29"/>
      <c r="M60" s="30"/>
    </row>
    <row r="61" spans="4:14" ht="15" customHeight="1" x14ac:dyDescent="0.2">
      <c r="D61" s="31"/>
      <c r="E61" s="31"/>
      <c r="F61" s="31"/>
      <c r="G61" s="31"/>
      <c r="H61" s="32"/>
      <c r="I61" s="33"/>
      <c r="J61" s="34"/>
      <c r="K61" s="31"/>
      <c r="L61" s="31"/>
      <c r="M61" s="31"/>
    </row>
    <row r="62" spans="4:14" x14ac:dyDescent="0.2">
      <c r="D62" s="35"/>
      <c r="E62" s="35"/>
      <c r="F62" s="35"/>
      <c r="G62" s="35"/>
      <c r="H62" s="35"/>
      <c r="I62" s="35"/>
      <c r="J62" s="35"/>
      <c r="K62" s="35"/>
      <c r="L62" s="35"/>
      <c r="M62" s="35"/>
      <c r="N62" s="35"/>
    </row>
    <row r="63" spans="4:14" x14ac:dyDescent="0.2">
      <c r="D63" s="35"/>
      <c r="E63" s="35"/>
      <c r="F63" s="35"/>
      <c r="G63" s="35"/>
      <c r="H63" s="35"/>
      <c r="I63" s="35"/>
      <c r="J63" s="35"/>
      <c r="K63" s="35"/>
      <c r="L63" s="35"/>
      <c r="M63" s="35"/>
      <c r="N63" s="35"/>
    </row>
    <row r="64" spans="4:14" x14ac:dyDescent="0.2">
      <c r="D64" s="35"/>
      <c r="E64" s="35"/>
      <c r="F64" s="35"/>
      <c r="G64" s="35"/>
      <c r="H64" s="35"/>
      <c r="I64" s="35"/>
      <c r="J64" s="35"/>
      <c r="K64" s="35"/>
      <c r="L64" s="35"/>
      <c r="M64" s="35"/>
      <c r="N64" s="35"/>
    </row>
    <row r="65" spans="4:14" x14ac:dyDescent="0.2">
      <c r="D65" s="35"/>
      <c r="E65" s="35"/>
      <c r="F65" s="35"/>
      <c r="G65" s="35"/>
      <c r="H65" s="35"/>
      <c r="I65" s="35"/>
      <c r="J65" s="35"/>
      <c r="K65" s="35"/>
      <c r="L65" s="35"/>
      <c r="M65" s="35"/>
      <c r="N65" s="35"/>
    </row>
    <row r="66" spans="4:14" x14ac:dyDescent="0.2">
      <c r="D66" s="35"/>
      <c r="E66" s="35"/>
      <c r="F66" s="35"/>
      <c r="G66" s="35"/>
      <c r="H66" s="35"/>
      <c r="I66" s="35"/>
      <c r="J66" s="35"/>
      <c r="K66" s="35"/>
      <c r="L66" s="35"/>
      <c r="M66" s="35"/>
      <c r="N66" s="35"/>
    </row>
    <row r="67" spans="4:14" x14ac:dyDescent="0.2">
      <c r="D67" s="35"/>
      <c r="E67" s="35"/>
      <c r="F67" s="35"/>
      <c r="G67" s="35"/>
      <c r="H67" s="35"/>
      <c r="I67" s="35"/>
      <c r="J67" s="35"/>
      <c r="K67" s="35"/>
      <c r="L67" s="35"/>
      <c r="M67" s="35"/>
      <c r="N67" s="35"/>
    </row>
    <row r="68" spans="4:14" x14ac:dyDescent="0.2">
      <c r="D68" s="35"/>
      <c r="E68" s="35"/>
      <c r="F68" s="35"/>
      <c r="G68" s="35"/>
      <c r="H68" s="35"/>
      <c r="I68" s="35"/>
      <c r="J68" s="35"/>
      <c r="K68" s="35"/>
      <c r="L68" s="35"/>
      <c r="M68" s="35"/>
      <c r="N68" s="35"/>
    </row>
    <row r="69" spans="4:14" x14ac:dyDescent="0.2">
      <c r="D69" s="35"/>
      <c r="E69" s="35"/>
      <c r="F69" s="35"/>
      <c r="G69" s="35"/>
      <c r="H69" s="35"/>
      <c r="I69" s="35"/>
      <c r="J69" s="35"/>
      <c r="K69" s="35"/>
      <c r="L69" s="35"/>
      <c r="M69" s="35"/>
      <c r="N69" s="35"/>
    </row>
    <row r="70" spans="4:14" x14ac:dyDescent="0.2">
      <c r="D70" s="35"/>
      <c r="E70" s="35"/>
      <c r="F70" s="35"/>
      <c r="G70" s="35"/>
      <c r="H70" s="35"/>
      <c r="I70" s="35"/>
      <c r="J70" s="35"/>
      <c r="K70" s="35"/>
      <c r="L70" s="35"/>
      <c r="M70" s="35"/>
      <c r="N70" s="35"/>
    </row>
    <row r="71" spans="4:14" x14ac:dyDescent="0.2">
      <c r="D71" s="35"/>
      <c r="E71" s="35"/>
      <c r="F71" s="35"/>
      <c r="G71" s="35"/>
      <c r="H71" s="35"/>
      <c r="I71" s="35"/>
      <c r="J71" s="35"/>
      <c r="K71" s="35"/>
      <c r="L71" s="35"/>
      <c r="M71" s="35"/>
      <c r="N71" s="35"/>
    </row>
    <row r="72" spans="4:14" x14ac:dyDescent="0.2">
      <c r="D72" s="35"/>
      <c r="E72" s="35"/>
      <c r="F72" s="35"/>
      <c r="G72" s="35"/>
      <c r="H72" s="35"/>
      <c r="I72" s="35"/>
      <c r="J72" s="35"/>
      <c r="K72" s="35"/>
      <c r="L72" s="35"/>
      <c r="M72" s="35"/>
      <c r="N72" s="35"/>
    </row>
    <row r="73" spans="4:14" x14ac:dyDescent="0.2">
      <c r="D73" s="35"/>
      <c r="E73" s="35"/>
      <c r="F73" s="35"/>
      <c r="G73" s="35"/>
      <c r="H73" s="35"/>
      <c r="I73" s="35"/>
      <c r="J73" s="35"/>
      <c r="K73" s="35"/>
      <c r="L73" s="35"/>
      <c r="M73" s="35"/>
      <c r="N73" s="35"/>
    </row>
    <row r="74" spans="4:14" x14ac:dyDescent="0.2">
      <c r="D74" s="35"/>
      <c r="E74" s="35"/>
      <c r="F74" s="35"/>
      <c r="G74" s="35"/>
      <c r="H74" s="35"/>
      <c r="I74" s="35"/>
      <c r="J74" s="35"/>
      <c r="K74" s="35"/>
      <c r="L74" s="35"/>
      <c r="M74" s="35"/>
      <c r="N74" s="35"/>
    </row>
    <row r="75" spans="4:14" x14ac:dyDescent="0.2">
      <c r="D75" s="35"/>
      <c r="E75" s="35"/>
      <c r="F75" s="35"/>
      <c r="G75" s="35"/>
      <c r="H75" s="35"/>
      <c r="I75" s="35"/>
      <c r="J75" s="35"/>
      <c r="K75" s="35"/>
      <c r="L75" s="35"/>
      <c r="M75" s="35"/>
      <c r="N75" s="35"/>
    </row>
    <row r="76" spans="4:14" x14ac:dyDescent="0.2">
      <c r="D76" s="35"/>
      <c r="E76" s="35"/>
      <c r="F76" s="35"/>
      <c r="G76" s="35"/>
      <c r="H76" s="35"/>
      <c r="I76" s="35"/>
      <c r="J76" s="35"/>
      <c r="K76" s="35"/>
      <c r="L76" s="35"/>
      <c r="M76" s="35"/>
      <c r="N76" s="35"/>
    </row>
    <row r="77" spans="4:14" x14ac:dyDescent="0.2">
      <c r="D77" s="35"/>
      <c r="E77" s="35"/>
      <c r="F77" s="35"/>
      <c r="G77" s="35"/>
      <c r="H77" s="35"/>
      <c r="I77" s="35"/>
      <c r="J77" s="35"/>
      <c r="K77" s="35"/>
      <c r="L77" s="35"/>
      <c r="M77" s="35"/>
      <c r="N77" s="35"/>
    </row>
    <row r="78" spans="4:14" x14ac:dyDescent="0.2">
      <c r="D78" s="35"/>
      <c r="E78" s="35"/>
      <c r="F78" s="35"/>
      <c r="G78" s="35"/>
      <c r="H78" s="35"/>
      <c r="I78" s="35"/>
      <c r="J78" s="35"/>
      <c r="K78" s="35"/>
      <c r="L78" s="35"/>
      <c r="M78" s="35"/>
      <c r="N78" s="35"/>
    </row>
    <row r="79" spans="4:14" x14ac:dyDescent="0.2">
      <c r="D79" s="35"/>
      <c r="E79" s="35"/>
      <c r="F79" s="35"/>
      <c r="G79" s="35"/>
      <c r="H79" s="35"/>
      <c r="I79" s="35"/>
      <c r="J79" s="35"/>
      <c r="K79" s="35"/>
      <c r="L79" s="35"/>
      <c r="M79" s="35"/>
      <c r="N79" s="35"/>
    </row>
    <row r="80" spans="4:14" x14ac:dyDescent="0.2">
      <c r="D80" s="35"/>
      <c r="E80" s="35"/>
      <c r="F80" s="35"/>
      <c r="G80" s="35"/>
      <c r="H80" s="35"/>
      <c r="I80" s="35"/>
      <c r="J80" s="35"/>
      <c r="K80" s="35"/>
      <c r="L80" s="35"/>
      <c r="M80" s="35"/>
      <c r="N80" s="35"/>
    </row>
    <row r="81" spans="4:14" x14ac:dyDescent="0.2">
      <c r="D81" s="35"/>
      <c r="E81" s="35"/>
      <c r="F81" s="35"/>
      <c r="G81" s="35"/>
      <c r="H81" s="35"/>
      <c r="I81" s="35"/>
      <c r="J81" s="35"/>
      <c r="K81" s="35"/>
      <c r="L81" s="35"/>
      <c r="M81" s="35"/>
      <c r="N81" s="35"/>
    </row>
    <row r="82" spans="4:14" x14ac:dyDescent="0.2">
      <c r="D82" s="35"/>
      <c r="E82" s="35"/>
      <c r="F82" s="35"/>
      <c r="G82" s="35"/>
      <c r="H82" s="35"/>
      <c r="I82" s="35"/>
      <c r="J82" s="35"/>
      <c r="K82" s="35"/>
      <c r="L82" s="35"/>
      <c r="M82" s="35"/>
      <c r="N82" s="35"/>
    </row>
    <row r="83" spans="4:14" x14ac:dyDescent="0.2">
      <c r="D83" s="35"/>
      <c r="E83" s="35"/>
      <c r="F83" s="35"/>
      <c r="G83" s="35"/>
      <c r="H83" s="35"/>
      <c r="I83" s="35"/>
      <c r="J83" s="35"/>
      <c r="K83" s="35"/>
      <c r="L83" s="35"/>
      <c r="M83" s="35"/>
      <c r="N83" s="35"/>
    </row>
    <row r="84" spans="4:14" x14ac:dyDescent="0.2">
      <c r="D84" s="35"/>
      <c r="E84" s="35"/>
      <c r="F84" s="35"/>
      <c r="G84" s="35"/>
      <c r="H84" s="35"/>
      <c r="I84" s="35"/>
      <c r="J84" s="35"/>
      <c r="K84" s="35"/>
      <c r="L84" s="35"/>
      <c r="M84" s="35"/>
      <c r="N84" s="35"/>
    </row>
    <row r="85" spans="4:14" x14ac:dyDescent="0.2">
      <c r="D85" s="35"/>
      <c r="E85" s="35"/>
      <c r="F85" s="35"/>
      <c r="G85" s="35"/>
      <c r="H85" s="35"/>
      <c r="I85" s="35"/>
      <c r="J85" s="35"/>
      <c r="K85" s="35"/>
      <c r="L85" s="35"/>
      <c r="M85" s="35"/>
      <c r="N85" s="35"/>
    </row>
    <row r="86" spans="4:14" x14ac:dyDescent="0.2">
      <c r="D86" s="35"/>
      <c r="E86" s="35"/>
      <c r="F86" s="35"/>
      <c r="G86" s="35"/>
      <c r="H86" s="35"/>
      <c r="I86" s="35"/>
      <c r="J86" s="35"/>
      <c r="K86" s="35"/>
      <c r="L86" s="35"/>
      <c r="M86" s="35"/>
      <c r="N86" s="35"/>
    </row>
    <row r="87" spans="4:14" x14ac:dyDescent="0.2">
      <c r="D87" s="35"/>
      <c r="E87" s="35"/>
      <c r="F87" s="35"/>
      <c r="G87" s="35"/>
      <c r="H87" s="35"/>
      <c r="I87" s="35"/>
      <c r="J87" s="35"/>
      <c r="K87" s="35"/>
      <c r="L87" s="35"/>
      <c r="M87" s="35"/>
      <c r="N87" s="35"/>
    </row>
    <row r="88" spans="4:14" x14ac:dyDescent="0.2">
      <c r="D88" s="35"/>
      <c r="E88" s="35"/>
      <c r="F88" s="35"/>
      <c r="G88" s="35"/>
      <c r="H88" s="35"/>
      <c r="I88" s="35"/>
      <c r="J88" s="35"/>
      <c r="K88" s="35"/>
      <c r="L88" s="35"/>
      <c r="M88" s="35"/>
      <c r="N88" s="35"/>
    </row>
    <row r="89" spans="4:14" x14ac:dyDescent="0.2">
      <c r="D89" s="35"/>
      <c r="E89" s="35"/>
      <c r="F89" s="35"/>
      <c r="G89" s="35"/>
      <c r="H89" s="35"/>
      <c r="I89" s="35"/>
      <c r="J89" s="35"/>
      <c r="K89" s="35"/>
      <c r="L89" s="35"/>
      <c r="M89" s="35"/>
      <c r="N89" s="35"/>
    </row>
    <row r="90" spans="4:14" x14ac:dyDescent="0.2">
      <c r="D90" s="35"/>
      <c r="E90" s="35"/>
      <c r="F90" s="35"/>
      <c r="G90" s="35"/>
      <c r="H90" s="35"/>
      <c r="I90" s="35"/>
      <c r="J90" s="35"/>
      <c r="K90" s="35"/>
      <c r="L90" s="35"/>
      <c r="M90" s="35"/>
      <c r="N90" s="35"/>
    </row>
    <row r="91" spans="4:14" x14ac:dyDescent="0.2">
      <c r="D91" s="35"/>
      <c r="E91" s="35"/>
      <c r="F91" s="35"/>
      <c r="G91" s="35"/>
      <c r="H91" s="35"/>
      <c r="I91" s="35"/>
      <c r="J91" s="35"/>
      <c r="K91" s="35"/>
      <c r="L91" s="35"/>
      <c r="M91" s="35"/>
      <c r="N91" s="35"/>
    </row>
    <row r="92" spans="4:14" x14ac:dyDescent="0.2">
      <c r="D92" s="35"/>
      <c r="E92" s="35"/>
      <c r="F92" s="35"/>
      <c r="G92" s="35"/>
      <c r="H92" s="35"/>
      <c r="I92" s="35"/>
      <c r="J92" s="35"/>
      <c r="K92" s="35"/>
      <c r="L92" s="35"/>
      <c r="M92" s="35"/>
      <c r="N92" s="35"/>
    </row>
    <row r="93" spans="4:14" x14ac:dyDescent="0.2">
      <c r="D93" s="35"/>
      <c r="E93" s="35"/>
      <c r="F93" s="35"/>
      <c r="G93" s="35"/>
      <c r="H93" s="35"/>
      <c r="I93" s="35"/>
      <c r="J93" s="35"/>
      <c r="K93" s="35"/>
      <c r="L93" s="35"/>
      <c r="M93" s="35"/>
      <c r="N93" s="35"/>
    </row>
    <row r="94" spans="4:14" x14ac:dyDescent="0.2">
      <c r="D94" s="35"/>
      <c r="E94" s="35"/>
      <c r="F94" s="35"/>
      <c r="G94" s="35"/>
      <c r="H94" s="35"/>
      <c r="I94" s="35"/>
      <c r="J94" s="35"/>
      <c r="K94" s="35"/>
      <c r="L94" s="35"/>
      <c r="M94" s="35"/>
      <c r="N94" s="35"/>
    </row>
    <row r="95" spans="4:14" x14ac:dyDescent="0.2">
      <c r="D95" s="35"/>
      <c r="E95" s="35"/>
      <c r="F95" s="35"/>
      <c r="G95" s="35"/>
      <c r="H95" s="35"/>
      <c r="I95" s="35"/>
      <c r="J95" s="35"/>
      <c r="K95" s="35"/>
      <c r="L95" s="35"/>
      <c r="M95" s="35"/>
      <c r="N95" s="35"/>
    </row>
    <row r="96" spans="4:14" x14ac:dyDescent="0.2">
      <c r="D96" s="35"/>
      <c r="E96" s="35"/>
      <c r="F96" s="35"/>
      <c r="G96" s="35"/>
      <c r="H96" s="35"/>
      <c r="I96" s="35"/>
      <c r="J96" s="35"/>
      <c r="K96" s="35"/>
      <c r="L96" s="35"/>
      <c r="M96" s="35"/>
      <c r="N96" s="35"/>
    </row>
    <row r="97" spans="4:14" x14ac:dyDescent="0.2">
      <c r="D97" s="35"/>
      <c r="E97" s="35"/>
      <c r="F97" s="35"/>
      <c r="G97" s="35"/>
      <c r="H97" s="35"/>
      <c r="I97" s="35"/>
      <c r="J97" s="35"/>
      <c r="K97" s="35"/>
      <c r="L97" s="35"/>
      <c r="M97" s="35"/>
      <c r="N97" s="35"/>
    </row>
    <row r="98" spans="4:14" x14ac:dyDescent="0.2">
      <c r="D98" s="35"/>
      <c r="E98" s="35"/>
      <c r="F98" s="35"/>
      <c r="G98" s="35"/>
      <c r="H98" s="35"/>
      <c r="I98" s="35"/>
      <c r="J98" s="35"/>
      <c r="K98" s="35"/>
      <c r="L98" s="35"/>
      <c r="M98" s="35"/>
      <c r="N98" s="35"/>
    </row>
    <row r="99" spans="4:14" x14ac:dyDescent="0.2">
      <c r="D99" s="35"/>
      <c r="E99" s="35"/>
      <c r="F99" s="35"/>
      <c r="G99" s="35"/>
      <c r="H99" s="35"/>
      <c r="I99" s="35"/>
      <c r="J99" s="35"/>
      <c r="K99" s="35"/>
      <c r="L99" s="35"/>
      <c r="M99" s="35"/>
      <c r="N99" s="35"/>
    </row>
    <row r="100" spans="4:14" x14ac:dyDescent="0.2">
      <c r="D100" s="35"/>
      <c r="E100" s="35"/>
      <c r="F100" s="35"/>
      <c r="G100" s="35"/>
      <c r="H100" s="35"/>
      <c r="I100" s="35"/>
      <c r="J100" s="35"/>
      <c r="K100" s="35"/>
      <c r="L100" s="35"/>
      <c r="M100" s="35"/>
      <c r="N100" s="35"/>
    </row>
    <row r="101" spans="4:14" x14ac:dyDescent="0.2">
      <c r="D101" s="35"/>
      <c r="E101" s="35"/>
      <c r="F101" s="35"/>
      <c r="G101" s="35"/>
      <c r="H101" s="35"/>
      <c r="I101" s="35"/>
      <c r="J101" s="35"/>
      <c r="K101" s="35"/>
      <c r="L101" s="35"/>
      <c r="M101" s="35"/>
      <c r="N101" s="35"/>
    </row>
    <row r="102" spans="4:14" x14ac:dyDescent="0.2">
      <c r="D102" s="35"/>
      <c r="E102" s="35"/>
      <c r="F102" s="35"/>
      <c r="G102" s="35"/>
      <c r="H102" s="35"/>
      <c r="I102" s="35"/>
      <c r="J102" s="35"/>
      <c r="K102" s="35"/>
      <c r="L102" s="35"/>
      <c r="M102" s="35"/>
      <c r="N102" s="35"/>
    </row>
    <row r="103" spans="4:14" x14ac:dyDescent="0.2">
      <c r="D103" s="35"/>
      <c r="E103" s="35"/>
      <c r="F103" s="35"/>
      <c r="G103" s="35"/>
      <c r="H103" s="35"/>
      <c r="I103" s="35"/>
      <c r="J103" s="35"/>
      <c r="K103" s="35"/>
      <c r="L103" s="35"/>
      <c r="M103" s="35"/>
      <c r="N103" s="35"/>
    </row>
    <row r="104" spans="4:14" x14ac:dyDescent="0.2">
      <c r="D104" s="35"/>
      <c r="E104" s="35"/>
      <c r="F104" s="35"/>
      <c r="G104" s="35"/>
      <c r="H104" s="35"/>
      <c r="I104" s="35"/>
      <c r="J104" s="35"/>
      <c r="K104" s="35"/>
      <c r="L104" s="35"/>
      <c r="M104" s="35"/>
      <c r="N104" s="35"/>
    </row>
    <row r="105" spans="4:14" x14ac:dyDescent="0.2">
      <c r="D105" s="35"/>
      <c r="E105" s="35"/>
      <c r="F105" s="35"/>
      <c r="G105" s="35"/>
      <c r="H105" s="35"/>
      <c r="I105" s="35"/>
      <c r="J105" s="35"/>
      <c r="K105" s="35"/>
      <c r="L105" s="35"/>
      <c r="M105" s="35"/>
      <c r="N105" s="35"/>
    </row>
    <row r="106" spans="4:14" x14ac:dyDescent="0.2">
      <c r="D106" s="35"/>
      <c r="E106" s="35"/>
      <c r="F106" s="35"/>
      <c r="G106" s="35"/>
      <c r="H106" s="35"/>
      <c r="I106" s="35"/>
      <c r="J106" s="35"/>
      <c r="K106" s="35"/>
      <c r="L106" s="35"/>
      <c r="M106" s="35"/>
      <c r="N106" s="35"/>
    </row>
    <row r="107" spans="4:14" x14ac:dyDescent="0.2">
      <c r="D107" s="35"/>
      <c r="E107" s="35"/>
      <c r="F107" s="35"/>
      <c r="G107" s="35"/>
      <c r="H107" s="35"/>
      <c r="I107" s="35"/>
      <c r="J107" s="35"/>
      <c r="K107" s="35"/>
      <c r="L107" s="35"/>
      <c r="M107" s="35"/>
      <c r="N107" s="35"/>
    </row>
    <row r="108" spans="4:14" x14ac:dyDescent="0.2">
      <c r="D108" s="35"/>
      <c r="E108" s="35"/>
      <c r="F108" s="35"/>
      <c r="G108" s="35"/>
      <c r="H108" s="35"/>
      <c r="I108" s="35"/>
      <c r="J108" s="35"/>
      <c r="K108" s="35"/>
      <c r="L108" s="35"/>
      <c r="M108" s="35"/>
      <c r="N108" s="35"/>
    </row>
    <row r="109" spans="4:14" x14ac:dyDescent="0.2">
      <c r="D109" s="35"/>
      <c r="E109" s="35"/>
      <c r="F109" s="35"/>
      <c r="G109" s="35"/>
      <c r="H109" s="35"/>
      <c r="I109" s="35"/>
      <c r="J109" s="35"/>
      <c r="K109" s="35"/>
      <c r="L109" s="35"/>
      <c r="M109" s="35"/>
      <c r="N109" s="35"/>
    </row>
    <row r="110" spans="4:14" x14ac:dyDescent="0.2">
      <c r="D110" s="35"/>
      <c r="E110" s="35"/>
      <c r="F110" s="35"/>
      <c r="G110" s="35"/>
      <c r="H110" s="35"/>
      <c r="I110" s="35"/>
      <c r="J110" s="35"/>
      <c r="K110" s="35"/>
      <c r="L110" s="35"/>
      <c r="M110" s="35"/>
      <c r="N110" s="35"/>
    </row>
    <row r="111" spans="4:14" x14ac:dyDescent="0.2">
      <c r="D111" s="35"/>
      <c r="E111" s="35"/>
      <c r="F111" s="35"/>
      <c r="G111" s="35"/>
      <c r="H111" s="35"/>
      <c r="I111" s="35"/>
      <c r="J111" s="35"/>
      <c r="K111" s="35"/>
      <c r="L111" s="35"/>
      <c r="M111" s="35"/>
      <c r="N111" s="35"/>
    </row>
    <row r="112" spans="4:14" x14ac:dyDescent="0.2">
      <c r="D112" s="35"/>
      <c r="E112" s="35"/>
      <c r="F112" s="35"/>
      <c r="G112" s="35"/>
      <c r="H112" s="35"/>
      <c r="I112" s="35"/>
      <c r="J112" s="35"/>
      <c r="K112" s="35"/>
      <c r="L112" s="35"/>
      <c r="M112" s="35"/>
      <c r="N112" s="35"/>
    </row>
    <row r="113" spans="4:14" x14ac:dyDescent="0.2">
      <c r="D113" s="35"/>
      <c r="E113" s="35"/>
      <c r="F113" s="35"/>
      <c r="G113" s="35"/>
      <c r="H113" s="35"/>
      <c r="I113" s="35"/>
      <c r="J113" s="35"/>
      <c r="K113" s="35"/>
      <c r="L113" s="35"/>
      <c r="M113" s="35"/>
      <c r="N113" s="35"/>
    </row>
    <row r="114" spans="4:14" x14ac:dyDescent="0.2">
      <c r="D114" s="35"/>
      <c r="E114" s="35"/>
      <c r="F114" s="35"/>
      <c r="G114" s="35"/>
      <c r="H114" s="35"/>
      <c r="I114" s="35"/>
      <c r="J114" s="35"/>
      <c r="K114" s="35"/>
      <c r="L114" s="35"/>
      <c r="M114" s="35"/>
      <c r="N114" s="35"/>
    </row>
    <row r="115" spans="4:14" x14ac:dyDescent="0.2">
      <c r="D115" s="35"/>
      <c r="E115" s="35"/>
      <c r="F115" s="35"/>
      <c r="G115" s="35"/>
      <c r="H115" s="35"/>
      <c r="I115" s="35"/>
      <c r="J115" s="35"/>
      <c r="K115" s="35"/>
      <c r="L115" s="35"/>
      <c r="M115" s="35"/>
      <c r="N115" s="35"/>
    </row>
    <row r="116" spans="4:14" x14ac:dyDescent="0.2">
      <c r="D116" s="35"/>
      <c r="E116" s="35"/>
      <c r="F116" s="35"/>
      <c r="G116" s="35"/>
      <c r="H116" s="35"/>
      <c r="I116" s="35"/>
      <c r="J116" s="35"/>
      <c r="K116" s="35"/>
      <c r="L116" s="35"/>
      <c r="M116" s="35"/>
      <c r="N116" s="35"/>
    </row>
    <row r="117" spans="4:14" x14ac:dyDescent="0.2">
      <c r="D117" s="35"/>
      <c r="E117" s="35"/>
      <c r="F117" s="35"/>
      <c r="G117" s="35"/>
      <c r="H117" s="35"/>
      <c r="I117" s="35"/>
      <c r="J117" s="35"/>
      <c r="K117" s="35"/>
      <c r="L117" s="35"/>
      <c r="M117" s="35"/>
      <c r="N117" s="35"/>
    </row>
    <row r="118" spans="4:14" x14ac:dyDescent="0.2">
      <c r="D118" s="35"/>
      <c r="E118" s="35"/>
      <c r="F118" s="35"/>
      <c r="G118" s="35"/>
      <c r="H118" s="35"/>
      <c r="I118" s="35"/>
      <c r="J118" s="35"/>
      <c r="K118" s="35"/>
      <c r="L118" s="35"/>
      <c r="M118" s="35"/>
      <c r="N118" s="35"/>
    </row>
    <row r="119" spans="4:14" x14ac:dyDescent="0.2">
      <c r="D119" s="35"/>
      <c r="E119" s="35"/>
      <c r="F119" s="35"/>
      <c r="G119" s="35"/>
      <c r="H119" s="35"/>
      <c r="I119" s="35"/>
      <c r="J119" s="35"/>
      <c r="K119" s="35"/>
      <c r="L119" s="35"/>
      <c r="M119" s="35"/>
      <c r="N119" s="35"/>
    </row>
    <row r="120" spans="4:14" x14ac:dyDescent="0.2">
      <c r="D120" s="35"/>
      <c r="E120" s="35"/>
      <c r="F120" s="35"/>
      <c r="G120" s="35"/>
      <c r="H120" s="35"/>
      <c r="I120" s="35"/>
      <c r="J120" s="35"/>
      <c r="K120" s="35"/>
      <c r="L120" s="35"/>
      <c r="M120" s="35"/>
      <c r="N120" s="35"/>
    </row>
    <row r="121" spans="4:14" x14ac:dyDescent="0.2">
      <c r="D121" s="35"/>
      <c r="E121" s="35"/>
      <c r="F121" s="35"/>
      <c r="G121" s="35"/>
      <c r="H121" s="35"/>
      <c r="I121" s="35"/>
      <c r="J121" s="35"/>
      <c r="K121" s="35"/>
      <c r="L121" s="35"/>
      <c r="M121" s="35"/>
      <c r="N121" s="35"/>
    </row>
    <row r="122" spans="4:14" x14ac:dyDescent="0.2">
      <c r="D122" s="35"/>
      <c r="E122" s="35"/>
      <c r="F122" s="35"/>
      <c r="G122" s="35"/>
      <c r="H122" s="35"/>
      <c r="I122" s="35"/>
      <c r="J122" s="35"/>
      <c r="K122" s="35"/>
      <c r="L122" s="35"/>
      <c r="M122" s="35"/>
      <c r="N122" s="35"/>
    </row>
    <row r="123" spans="4:14" x14ac:dyDescent="0.2">
      <c r="D123" s="35"/>
      <c r="E123" s="35"/>
      <c r="F123" s="35"/>
      <c r="G123" s="35"/>
      <c r="H123" s="35"/>
      <c r="I123" s="35"/>
      <c r="J123" s="35"/>
      <c r="K123" s="35"/>
      <c r="L123" s="35"/>
      <c r="M123" s="35"/>
      <c r="N123" s="35"/>
    </row>
    <row r="124" spans="4:14" x14ac:dyDescent="0.2">
      <c r="D124" s="35"/>
      <c r="E124" s="35"/>
      <c r="F124" s="35"/>
      <c r="G124" s="35"/>
      <c r="H124" s="35"/>
      <c r="I124" s="35"/>
      <c r="J124" s="35"/>
      <c r="K124" s="35"/>
      <c r="L124" s="35"/>
      <c r="M124" s="35"/>
      <c r="N124" s="35"/>
    </row>
    <row r="125" spans="4:14" x14ac:dyDescent="0.2">
      <c r="D125" s="35"/>
      <c r="E125" s="35"/>
      <c r="F125" s="35"/>
      <c r="G125" s="35"/>
      <c r="H125" s="35"/>
      <c r="I125" s="35"/>
      <c r="J125" s="35"/>
      <c r="K125" s="35"/>
      <c r="L125" s="35"/>
      <c r="M125" s="35"/>
      <c r="N125" s="35"/>
    </row>
    <row r="126" spans="4:14" x14ac:dyDescent="0.2">
      <c r="D126" s="35"/>
      <c r="E126" s="35"/>
      <c r="F126" s="35"/>
      <c r="G126" s="35"/>
      <c r="H126" s="35"/>
      <c r="I126" s="35"/>
      <c r="J126" s="35"/>
      <c r="K126" s="35"/>
      <c r="L126" s="35"/>
      <c r="M126" s="35"/>
      <c r="N126" s="35"/>
    </row>
    <row r="127" spans="4:14" x14ac:dyDescent="0.2">
      <c r="D127" s="35"/>
      <c r="E127" s="35"/>
      <c r="F127" s="35"/>
      <c r="G127" s="35"/>
      <c r="H127" s="35"/>
      <c r="I127" s="35"/>
      <c r="J127" s="35"/>
      <c r="K127" s="35"/>
      <c r="L127" s="35"/>
      <c r="M127" s="35"/>
      <c r="N127" s="35"/>
    </row>
    <row r="128" spans="4:14" x14ac:dyDescent="0.2">
      <c r="D128" s="35"/>
      <c r="E128" s="35"/>
      <c r="F128" s="35"/>
      <c r="G128" s="35"/>
      <c r="H128" s="35"/>
      <c r="I128" s="35"/>
      <c r="J128" s="35"/>
      <c r="K128" s="35"/>
      <c r="L128" s="35"/>
      <c r="M128" s="35"/>
      <c r="N128" s="35"/>
    </row>
    <row r="129" spans="4:14" x14ac:dyDescent="0.2">
      <c r="D129" s="35"/>
      <c r="E129" s="35"/>
      <c r="F129" s="35"/>
      <c r="G129" s="35"/>
      <c r="H129" s="35"/>
      <c r="I129" s="35"/>
      <c r="J129" s="35"/>
      <c r="K129" s="35"/>
      <c r="L129" s="35"/>
      <c r="M129" s="35"/>
      <c r="N129" s="35"/>
    </row>
    <row r="130" spans="4:14" x14ac:dyDescent="0.2">
      <c r="D130" s="35"/>
      <c r="E130" s="35"/>
      <c r="F130" s="35"/>
      <c r="G130" s="35"/>
      <c r="H130" s="35"/>
      <c r="I130" s="35"/>
      <c r="J130" s="35"/>
      <c r="K130" s="35"/>
      <c r="L130" s="35"/>
      <c r="M130" s="35"/>
      <c r="N130" s="35"/>
    </row>
    <row r="131" spans="4:14" x14ac:dyDescent="0.2">
      <c r="D131" s="35"/>
      <c r="E131" s="35"/>
      <c r="F131" s="35"/>
      <c r="G131" s="35"/>
      <c r="H131" s="35"/>
      <c r="I131" s="35"/>
      <c r="J131" s="35"/>
      <c r="K131" s="35"/>
      <c r="L131" s="35"/>
      <c r="M131" s="35"/>
      <c r="N131" s="35"/>
    </row>
    <row r="132" spans="4:14" x14ac:dyDescent="0.2">
      <c r="D132" s="35"/>
      <c r="E132" s="35"/>
      <c r="F132" s="35"/>
      <c r="G132" s="35"/>
      <c r="H132" s="35"/>
      <c r="I132" s="35"/>
      <c r="J132" s="35"/>
      <c r="K132" s="35"/>
      <c r="L132" s="35"/>
      <c r="M132" s="35"/>
      <c r="N132" s="35"/>
    </row>
    <row r="133" spans="4:14" x14ac:dyDescent="0.2">
      <c r="D133" s="35"/>
      <c r="E133" s="35"/>
      <c r="F133" s="35"/>
      <c r="G133" s="35"/>
      <c r="H133" s="35"/>
      <c r="I133" s="35"/>
      <c r="J133" s="35"/>
      <c r="K133" s="35"/>
      <c r="L133" s="35"/>
      <c r="M133" s="35"/>
      <c r="N133" s="35"/>
    </row>
    <row r="134" spans="4:14" x14ac:dyDescent="0.2">
      <c r="D134" s="35"/>
      <c r="E134" s="35"/>
      <c r="F134" s="35"/>
      <c r="G134" s="35"/>
      <c r="H134" s="35"/>
      <c r="I134" s="35"/>
      <c r="J134" s="35"/>
      <c r="K134" s="35"/>
      <c r="L134" s="35"/>
      <c r="M134" s="35"/>
      <c r="N134" s="35"/>
    </row>
    <row r="135" spans="4:14" x14ac:dyDescent="0.2">
      <c r="D135" s="35"/>
      <c r="E135" s="35"/>
      <c r="F135" s="35"/>
      <c r="G135" s="35"/>
      <c r="H135" s="35"/>
      <c r="I135" s="35"/>
      <c r="J135" s="35"/>
      <c r="K135" s="35"/>
      <c r="L135" s="35"/>
      <c r="M135" s="35"/>
      <c r="N135" s="35"/>
    </row>
    <row r="136" spans="4:14" x14ac:dyDescent="0.2">
      <c r="D136" s="35"/>
      <c r="E136" s="35"/>
      <c r="F136" s="35"/>
      <c r="G136" s="35"/>
      <c r="H136" s="35"/>
      <c r="I136" s="35"/>
      <c r="J136" s="35"/>
      <c r="K136" s="35"/>
      <c r="L136" s="35"/>
      <c r="M136" s="35"/>
      <c r="N136" s="35"/>
    </row>
    <row r="137" spans="4:14" x14ac:dyDescent="0.2">
      <c r="D137" s="35"/>
      <c r="E137" s="35"/>
      <c r="F137" s="35"/>
      <c r="G137" s="35"/>
      <c r="H137" s="35"/>
      <c r="I137" s="35"/>
      <c r="J137" s="35"/>
      <c r="K137" s="35"/>
      <c r="L137" s="35"/>
      <c r="M137" s="35"/>
      <c r="N137" s="35"/>
    </row>
    <row r="138" spans="4:14" x14ac:dyDescent="0.2">
      <c r="D138" s="35"/>
      <c r="E138" s="35"/>
      <c r="F138" s="35"/>
      <c r="G138" s="35"/>
      <c r="H138" s="35"/>
      <c r="I138" s="35"/>
      <c r="J138" s="35"/>
      <c r="K138" s="35"/>
      <c r="L138" s="35"/>
      <c r="M138" s="35"/>
      <c r="N138" s="35"/>
    </row>
    <row r="139" spans="4:14" x14ac:dyDescent="0.2">
      <c r="D139" s="35"/>
      <c r="E139" s="35"/>
      <c r="F139" s="35"/>
      <c r="G139" s="35"/>
      <c r="H139" s="35"/>
      <c r="I139" s="35"/>
      <c r="J139" s="35"/>
      <c r="K139" s="35"/>
      <c r="L139" s="35"/>
      <c r="M139" s="35"/>
      <c r="N139" s="35"/>
    </row>
    <row r="140" spans="4:14" x14ac:dyDescent="0.2">
      <c r="D140" s="35"/>
      <c r="E140" s="35"/>
      <c r="F140" s="35"/>
      <c r="G140" s="35"/>
      <c r="H140" s="35"/>
      <c r="I140" s="35"/>
      <c r="J140" s="35"/>
      <c r="K140" s="35"/>
      <c r="L140" s="35"/>
      <c r="M140" s="35"/>
      <c r="N140" s="35"/>
    </row>
    <row r="141" spans="4:14" x14ac:dyDescent="0.2">
      <c r="D141" s="35"/>
      <c r="E141" s="35"/>
      <c r="F141" s="35"/>
      <c r="G141" s="35"/>
      <c r="H141" s="35"/>
      <c r="I141" s="35"/>
      <c r="J141" s="35"/>
      <c r="K141" s="35"/>
      <c r="L141" s="35"/>
      <c r="M141" s="35"/>
      <c r="N141" s="35"/>
    </row>
    <row r="142" spans="4:14" x14ac:dyDescent="0.2">
      <c r="D142" s="35"/>
      <c r="E142" s="35"/>
      <c r="F142" s="35"/>
      <c r="G142" s="35"/>
      <c r="H142" s="35"/>
      <c r="I142" s="35"/>
      <c r="J142" s="35"/>
      <c r="K142" s="35"/>
      <c r="L142" s="35"/>
      <c r="M142" s="35"/>
      <c r="N142" s="35"/>
    </row>
    <row r="143" spans="4:14" x14ac:dyDescent="0.2">
      <c r="D143" s="35"/>
      <c r="E143" s="35"/>
      <c r="F143" s="35"/>
      <c r="G143" s="35"/>
      <c r="H143" s="35"/>
      <c r="I143" s="35"/>
      <c r="J143" s="35"/>
      <c r="K143" s="35"/>
      <c r="L143" s="35"/>
      <c r="M143" s="35"/>
      <c r="N143" s="35"/>
    </row>
    <row r="144" spans="4:14" x14ac:dyDescent="0.2">
      <c r="D144" s="35"/>
      <c r="E144" s="35"/>
      <c r="F144" s="35"/>
      <c r="G144" s="35"/>
      <c r="H144" s="35"/>
      <c r="I144" s="35"/>
      <c r="J144" s="35"/>
      <c r="K144" s="35"/>
      <c r="L144" s="35"/>
      <c r="M144" s="35"/>
      <c r="N144" s="35"/>
    </row>
    <row r="145" spans="4:14" x14ac:dyDescent="0.2">
      <c r="D145" s="35"/>
      <c r="E145" s="35"/>
      <c r="F145" s="35"/>
      <c r="G145" s="35"/>
      <c r="H145" s="35"/>
      <c r="I145" s="35"/>
      <c r="J145" s="35"/>
      <c r="K145" s="35"/>
      <c r="L145" s="35"/>
      <c r="M145" s="35"/>
      <c r="N145" s="35"/>
    </row>
    <row r="146" spans="4:14" x14ac:dyDescent="0.2">
      <c r="D146" s="35"/>
      <c r="E146" s="35"/>
      <c r="F146" s="35"/>
      <c r="G146" s="35"/>
      <c r="H146" s="35"/>
      <c r="I146" s="35"/>
      <c r="J146" s="35"/>
      <c r="K146" s="35"/>
      <c r="L146" s="35"/>
      <c r="M146" s="35"/>
      <c r="N146" s="35"/>
    </row>
    <row r="147" spans="4:14" x14ac:dyDescent="0.2">
      <c r="D147" s="35"/>
      <c r="E147" s="35"/>
      <c r="F147" s="35"/>
      <c r="G147" s="35"/>
      <c r="H147" s="35"/>
      <c r="I147" s="35"/>
      <c r="J147" s="35"/>
      <c r="K147" s="35"/>
      <c r="L147" s="35"/>
      <c r="M147" s="35"/>
      <c r="N147" s="35"/>
    </row>
    <row r="148" spans="4:14" x14ac:dyDescent="0.2">
      <c r="D148" s="35"/>
      <c r="E148" s="35"/>
      <c r="F148" s="35"/>
      <c r="G148" s="35"/>
      <c r="H148" s="35"/>
      <c r="I148" s="35"/>
      <c r="J148" s="35"/>
      <c r="K148" s="35"/>
      <c r="L148" s="35"/>
      <c r="M148" s="35"/>
      <c r="N148" s="35"/>
    </row>
    <row r="149" spans="4:14" x14ac:dyDescent="0.2">
      <c r="D149" s="35"/>
      <c r="E149" s="35"/>
      <c r="F149" s="35"/>
      <c r="G149" s="35"/>
      <c r="H149" s="35"/>
      <c r="I149" s="35"/>
      <c r="J149" s="35"/>
      <c r="K149" s="35"/>
      <c r="L149" s="35"/>
      <c r="M149" s="35"/>
      <c r="N149" s="35"/>
    </row>
    <row r="150" spans="4:14" x14ac:dyDescent="0.2">
      <c r="D150" s="35"/>
      <c r="E150" s="35"/>
      <c r="F150" s="35"/>
      <c r="G150" s="35"/>
      <c r="H150" s="35"/>
      <c r="I150" s="35"/>
      <c r="J150" s="35"/>
      <c r="K150" s="35"/>
      <c r="L150" s="35"/>
      <c r="M150" s="35"/>
      <c r="N150" s="35"/>
    </row>
    <row r="151" spans="4:14" x14ac:dyDescent="0.2">
      <c r="D151" s="35"/>
      <c r="E151" s="35"/>
      <c r="F151" s="35"/>
      <c r="G151" s="35"/>
      <c r="H151" s="35"/>
      <c r="I151" s="35"/>
      <c r="J151" s="35"/>
      <c r="K151" s="35"/>
      <c r="L151" s="35"/>
      <c r="M151" s="35"/>
      <c r="N151" s="35"/>
    </row>
    <row r="152" spans="4:14" x14ac:dyDescent="0.2">
      <c r="D152" s="35"/>
      <c r="E152" s="35"/>
      <c r="F152" s="35"/>
      <c r="G152" s="35"/>
      <c r="H152" s="35"/>
      <c r="I152" s="35"/>
      <c r="J152" s="35"/>
      <c r="K152" s="35"/>
      <c r="L152" s="35"/>
      <c r="M152" s="35"/>
      <c r="N152" s="35"/>
    </row>
    <row r="153" spans="4:14" x14ac:dyDescent="0.2">
      <c r="D153" s="35"/>
      <c r="E153" s="35"/>
      <c r="F153" s="35"/>
      <c r="G153" s="35"/>
      <c r="H153" s="35"/>
      <c r="I153" s="35"/>
      <c r="J153" s="35"/>
      <c r="K153" s="35"/>
      <c r="L153" s="35"/>
      <c r="M153" s="35"/>
      <c r="N153" s="35"/>
    </row>
    <row r="154" spans="4:14" x14ac:dyDescent="0.2">
      <c r="D154" s="35"/>
      <c r="E154" s="35"/>
      <c r="F154" s="35"/>
      <c r="G154" s="35"/>
      <c r="H154" s="35"/>
      <c r="I154" s="35"/>
      <c r="J154" s="35"/>
      <c r="K154" s="35"/>
      <c r="L154" s="35"/>
      <c r="M154" s="35"/>
      <c r="N154" s="35"/>
    </row>
    <row r="155" spans="4:14" x14ac:dyDescent="0.2">
      <c r="D155" s="35"/>
      <c r="E155" s="35"/>
      <c r="F155" s="35"/>
      <c r="G155" s="35"/>
      <c r="H155" s="35"/>
      <c r="I155" s="35"/>
      <c r="J155" s="35"/>
      <c r="K155" s="35"/>
      <c r="L155" s="35"/>
      <c r="M155" s="35"/>
      <c r="N155" s="35"/>
    </row>
    <row r="156" spans="4:14" x14ac:dyDescent="0.2">
      <c r="D156" s="35"/>
      <c r="E156" s="35"/>
      <c r="F156" s="35"/>
      <c r="G156" s="35"/>
      <c r="H156" s="35"/>
      <c r="I156" s="35"/>
      <c r="J156" s="35"/>
      <c r="K156" s="35"/>
      <c r="L156" s="35"/>
      <c r="M156" s="35"/>
      <c r="N156" s="35"/>
    </row>
    <row r="157" spans="4:14" x14ac:dyDescent="0.2">
      <c r="D157" s="35"/>
      <c r="E157" s="35"/>
      <c r="F157" s="35"/>
      <c r="G157" s="35"/>
      <c r="H157" s="35"/>
      <c r="I157" s="35"/>
      <c r="J157" s="35"/>
      <c r="K157" s="35"/>
      <c r="L157" s="35"/>
      <c r="M157" s="35"/>
      <c r="N157" s="35"/>
    </row>
    <row r="158" spans="4:14" x14ac:dyDescent="0.2">
      <c r="D158" s="35"/>
      <c r="E158" s="35"/>
      <c r="F158" s="35"/>
      <c r="G158" s="35"/>
      <c r="H158" s="35"/>
      <c r="I158" s="35"/>
      <c r="J158" s="35"/>
      <c r="K158" s="35"/>
      <c r="L158" s="35"/>
      <c r="M158" s="35"/>
      <c r="N158" s="35"/>
    </row>
    <row r="159" spans="4:14" x14ac:dyDescent="0.2">
      <c r="D159" s="35"/>
      <c r="E159" s="35"/>
      <c r="F159" s="35"/>
      <c r="G159" s="35"/>
      <c r="H159" s="35"/>
      <c r="I159" s="35"/>
      <c r="J159" s="35"/>
      <c r="K159" s="35"/>
      <c r="L159" s="35"/>
      <c r="M159" s="35"/>
      <c r="N159" s="35"/>
    </row>
    <row r="160" spans="4:14" x14ac:dyDescent="0.2">
      <c r="D160" s="35"/>
      <c r="E160" s="35"/>
      <c r="F160" s="35"/>
      <c r="G160" s="35"/>
      <c r="H160" s="35"/>
      <c r="I160" s="35"/>
      <c r="J160" s="35"/>
      <c r="K160" s="35"/>
      <c r="L160" s="35"/>
      <c r="M160" s="35"/>
      <c r="N160" s="35"/>
    </row>
    <row r="161" spans="4:14" x14ac:dyDescent="0.2">
      <c r="D161" s="35"/>
      <c r="E161" s="35"/>
      <c r="F161" s="35"/>
      <c r="G161" s="35"/>
      <c r="H161" s="35"/>
      <c r="I161" s="35"/>
      <c r="J161" s="35"/>
      <c r="K161" s="35"/>
      <c r="L161" s="35"/>
      <c r="M161" s="35"/>
      <c r="N161" s="35"/>
    </row>
    <row r="162" spans="4:14" x14ac:dyDescent="0.2">
      <c r="D162" s="35"/>
      <c r="E162" s="35"/>
      <c r="F162" s="35"/>
      <c r="G162" s="35"/>
      <c r="H162" s="35"/>
      <c r="I162" s="35"/>
      <c r="J162" s="35"/>
      <c r="K162" s="35"/>
      <c r="L162" s="35"/>
      <c r="M162" s="35"/>
      <c r="N162" s="35"/>
    </row>
    <row r="163" spans="4:14" x14ac:dyDescent="0.2">
      <c r="D163" s="35"/>
      <c r="E163" s="35"/>
      <c r="F163" s="35"/>
      <c r="G163" s="35"/>
      <c r="H163" s="35"/>
      <c r="I163" s="35"/>
      <c r="J163" s="35"/>
      <c r="K163" s="35"/>
      <c r="L163" s="35"/>
      <c r="M163" s="35"/>
      <c r="N163" s="35"/>
    </row>
    <row r="164" spans="4:14" x14ac:dyDescent="0.2">
      <c r="D164" s="35"/>
      <c r="E164" s="35"/>
      <c r="F164" s="35"/>
      <c r="G164" s="35"/>
      <c r="H164" s="35"/>
      <c r="I164" s="35"/>
      <c r="J164" s="35"/>
      <c r="K164" s="35"/>
      <c r="L164" s="35"/>
      <c r="M164" s="35"/>
      <c r="N164" s="35"/>
    </row>
    <row r="165" spans="4:14" x14ac:dyDescent="0.2">
      <c r="D165" s="35"/>
      <c r="E165" s="35"/>
      <c r="F165" s="35"/>
      <c r="G165" s="35"/>
      <c r="H165" s="35"/>
      <c r="I165" s="35"/>
      <c r="J165" s="35"/>
      <c r="K165" s="35"/>
      <c r="L165" s="35"/>
      <c r="M165" s="35"/>
      <c r="N165" s="35"/>
    </row>
    <row r="166" spans="4:14" x14ac:dyDescent="0.2">
      <c r="D166" s="35"/>
      <c r="E166" s="35"/>
      <c r="F166" s="35"/>
      <c r="G166" s="35"/>
      <c r="H166" s="35"/>
      <c r="I166" s="35"/>
      <c r="J166" s="35"/>
      <c r="K166" s="35"/>
      <c r="L166" s="35"/>
      <c r="M166" s="35"/>
      <c r="N166" s="35"/>
    </row>
    <row r="167" spans="4:14" x14ac:dyDescent="0.2">
      <c r="D167" s="35"/>
      <c r="E167" s="35"/>
      <c r="F167" s="35"/>
      <c r="G167" s="35"/>
      <c r="H167" s="35"/>
      <c r="I167" s="35"/>
      <c r="J167" s="35"/>
      <c r="K167" s="35"/>
      <c r="L167" s="35"/>
      <c r="M167" s="35"/>
      <c r="N167" s="35"/>
    </row>
    <row r="168" spans="4:14" x14ac:dyDescent="0.2">
      <c r="D168" s="35"/>
      <c r="E168" s="35"/>
      <c r="F168" s="35"/>
      <c r="G168" s="35"/>
      <c r="H168" s="35"/>
      <c r="I168" s="35"/>
      <c r="J168" s="35"/>
      <c r="K168" s="35"/>
      <c r="L168" s="35"/>
      <c r="M168" s="35"/>
      <c r="N168" s="35"/>
    </row>
    <row r="169" spans="4:14" x14ac:dyDescent="0.2">
      <c r="D169" s="35"/>
      <c r="E169" s="35"/>
      <c r="F169" s="35"/>
      <c r="G169" s="35"/>
      <c r="H169" s="35"/>
      <c r="I169" s="35"/>
      <c r="J169" s="35"/>
      <c r="K169" s="35"/>
      <c r="L169" s="35"/>
      <c r="M169" s="35"/>
      <c r="N169" s="35"/>
    </row>
    <row r="170" spans="4:14" x14ac:dyDescent="0.2">
      <c r="D170" s="35"/>
      <c r="E170" s="35"/>
      <c r="F170" s="35"/>
      <c r="G170" s="35"/>
      <c r="H170" s="35"/>
      <c r="I170" s="35"/>
      <c r="J170" s="35"/>
      <c r="K170" s="35"/>
      <c r="L170" s="35"/>
      <c r="M170" s="35"/>
      <c r="N170" s="35"/>
    </row>
    <row r="171" spans="4:14" x14ac:dyDescent="0.2">
      <c r="D171" s="35"/>
      <c r="E171" s="35"/>
      <c r="F171" s="35"/>
      <c r="G171" s="35"/>
      <c r="H171" s="35"/>
      <c r="I171" s="35"/>
      <c r="J171" s="35"/>
      <c r="K171" s="35"/>
      <c r="L171" s="35"/>
      <c r="M171" s="35"/>
      <c r="N171" s="35"/>
    </row>
    <row r="172" spans="4:14" x14ac:dyDescent="0.2">
      <c r="D172" s="35"/>
      <c r="E172" s="35"/>
      <c r="F172" s="35"/>
      <c r="G172" s="35"/>
      <c r="H172" s="35"/>
      <c r="I172" s="35"/>
      <c r="J172" s="35"/>
      <c r="K172" s="35"/>
      <c r="L172" s="35"/>
      <c r="M172" s="35"/>
      <c r="N172" s="35"/>
    </row>
    <row r="173" spans="4:14" x14ac:dyDescent="0.2">
      <c r="D173" s="35"/>
      <c r="E173" s="35"/>
      <c r="F173" s="35"/>
      <c r="G173" s="35"/>
      <c r="H173" s="35"/>
      <c r="I173" s="35"/>
      <c r="J173" s="35"/>
      <c r="K173" s="35"/>
      <c r="L173" s="35"/>
      <c r="M173" s="35"/>
      <c r="N173" s="35"/>
    </row>
    <row r="174" spans="4:14" x14ac:dyDescent="0.2">
      <c r="D174" s="35"/>
      <c r="E174" s="35"/>
      <c r="F174" s="35"/>
      <c r="G174" s="35"/>
      <c r="H174" s="35"/>
      <c r="I174" s="35"/>
      <c r="J174" s="35"/>
      <c r="K174" s="35"/>
      <c r="L174" s="35"/>
      <c r="M174" s="35"/>
      <c r="N174" s="35"/>
    </row>
    <row r="175" spans="4:14" x14ac:dyDescent="0.2">
      <c r="D175" s="35"/>
      <c r="E175" s="35"/>
      <c r="F175" s="35"/>
      <c r="G175" s="35"/>
      <c r="H175" s="35"/>
      <c r="I175" s="35"/>
      <c r="J175" s="35"/>
      <c r="K175" s="35"/>
      <c r="L175" s="35"/>
      <c r="M175" s="35"/>
      <c r="N175" s="35"/>
    </row>
    <row r="176" spans="4:14" x14ac:dyDescent="0.2">
      <c r="D176" s="35"/>
      <c r="E176" s="35"/>
      <c r="F176" s="35"/>
      <c r="G176" s="35"/>
      <c r="H176" s="35"/>
      <c r="I176" s="35"/>
      <c r="J176" s="35"/>
      <c r="K176" s="35"/>
      <c r="L176" s="35"/>
      <c r="M176" s="35"/>
      <c r="N176" s="35"/>
    </row>
    <row r="177" spans="4:14" x14ac:dyDescent="0.2">
      <c r="D177" s="35"/>
      <c r="E177" s="35"/>
      <c r="F177" s="35"/>
      <c r="G177" s="35"/>
      <c r="H177" s="35"/>
      <c r="I177" s="35"/>
      <c r="J177" s="35"/>
      <c r="K177" s="35"/>
      <c r="L177" s="35"/>
      <c r="M177" s="35"/>
      <c r="N177" s="35"/>
    </row>
    <row r="178" spans="4:14" x14ac:dyDescent="0.2">
      <c r="D178" s="35"/>
      <c r="E178" s="35"/>
      <c r="F178" s="35"/>
      <c r="G178" s="35"/>
      <c r="H178" s="35"/>
      <c r="I178" s="35"/>
      <c r="J178" s="35"/>
      <c r="K178" s="35"/>
      <c r="L178" s="35"/>
      <c r="M178" s="35"/>
      <c r="N178" s="35"/>
    </row>
    <row r="179" spans="4:14" x14ac:dyDescent="0.2">
      <c r="D179" s="35"/>
      <c r="E179" s="35"/>
      <c r="F179" s="35"/>
      <c r="G179" s="35"/>
      <c r="H179" s="35"/>
      <c r="I179" s="35"/>
      <c r="J179" s="35"/>
      <c r="K179" s="35"/>
      <c r="L179" s="35"/>
      <c r="M179" s="35"/>
      <c r="N179" s="35"/>
    </row>
    <row r="180" spans="4:14" x14ac:dyDescent="0.2">
      <c r="D180" s="35"/>
      <c r="E180" s="35"/>
      <c r="F180" s="35"/>
      <c r="G180" s="35"/>
      <c r="H180" s="35"/>
      <c r="I180" s="35"/>
      <c r="J180" s="35"/>
      <c r="K180" s="35"/>
      <c r="L180" s="35"/>
      <c r="M180" s="35"/>
      <c r="N180" s="35"/>
    </row>
    <row r="181" spans="4:14" x14ac:dyDescent="0.2">
      <c r="D181" s="35"/>
      <c r="E181" s="35"/>
      <c r="F181" s="35"/>
      <c r="G181" s="35"/>
      <c r="H181" s="35"/>
      <c r="I181" s="35"/>
      <c r="J181" s="35"/>
      <c r="K181" s="35"/>
      <c r="L181" s="35"/>
      <c r="M181" s="35"/>
      <c r="N181" s="35"/>
    </row>
    <row r="182" spans="4:14" x14ac:dyDescent="0.2">
      <c r="D182" s="35"/>
      <c r="E182" s="35"/>
      <c r="F182" s="35"/>
      <c r="G182" s="35"/>
      <c r="H182" s="35"/>
      <c r="I182" s="35"/>
      <c r="J182" s="35"/>
      <c r="K182" s="35"/>
      <c r="L182" s="35"/>
      <c r="M182" s="35"/>
      <c r="N182" s="35"/>
    </row>
    <row r="183" spans="4:14" x14ac:dyDescent="0.2">
      <c r="D183" s="35"/>
      <c r="E183" s="35"/>
      <c r="F183" s="35"/>
      <c r="G183" s="35"/>
      <c r="H183" s="35"/>
      <c r="I183" s="35"/>
      <c r="J183" s="35"/>
      <c r="K183" s="35"/>
      <c r="L183" s="35"/>
      <c r="M183" s="35"/>
      <c r="N183" s="35"/>
    </row>
    <row r="184" spans="4:14" x14ac:dyDescent="0.2">
      <c r="D184" s="35"/>
      <c r="E184" s="35"/>
      <c r="F184" s="35"/>
      <c r="G184" s="35"/>
      <c r="H184" s="35"/>
      <c r="I184" s="35"/>
      <c r="J184" s="35"/>
      <c r="K184" s="35"/>
      <c r="L184" s="35"/>
      <c r="M184" s="35"/>
      <c r="N184" s="35"/>
    </row>
    <row r="185" spans="4:14" x14ac:dyDescent="0.2">
      <c r="D185" s="35"/>
      <c r="E185" s="35"/>
      <c r="F185" s="35"/>
      <c r="G185" s="35"/>
      <c r="H185" s="35"/>
      <c r="I185" s="35"/>
      <c r="J185" s="35"/>
      <c r="K185" s="35"/>
      <c r="L185" s="35"/>
      <c r="M185" s="35"/>
      <c r="N185" s="35"/>
    </row>
    <row r="186" spans="4:14" x14ac:dyDescent="0.2">
      <c r="D186" s="35"/>
      <c r="E186" s="35"/>
      <c r="F186" s="35"/>
      <c r="G186" s="35"/>
      <c r="H186" s="35"/>
      <c r="I186" s="35"/>
      <c r="J186" s="35"/>
      <c r="K186" s="35"/>
      <c r="L186" s="35"/>
      <c r="M186" s="35"/>
      <c r="N186" s="35"/>
    </row>
    <row r="187" spans="4:14" x14ac:dyDescent="0.2">
      <c r="D187" s="35"/>
      <c r="E187" s="35"/>
      <c r="F187" s="35"/>
      <c r="G187" s="35"/>
      <c r="H187" s="35"/>
      <c r="I187" s="35"/>
      <c r="J187" s="35"/>
      <c r="K187" s="35"/>
      <c r="L187" s="35"/>
      <c r="M187" s="35"/>
      <c r="N187" s="35"/>
    </row>
    <row r="188" spans="4:14" x14ac:dyDescent="0.2">
      <c r="D188" s="35"/>
      <c r="E188" s="35"/>
      <c r="F188" s="35"/>
      <c r="G188" s="35"/>
      <c r="H188" s="35"/>
      <c r="I188" s="35"/>
      <c r="J188" s="35"/>
      <c r="K188" s="35"/>
      <c r="L188" s="35"/>
      <c r="M188" s="35"/>
      <c r="N188" s="35"/>
    </row>
    <row r="189" spans="4:14" x14ac:dyDescent="0.2">
      <c r="D189" s="35"/>
      <c r="E189" s="35"/>
      <c r="F189" s="35"/>
      <c r="G189" s="35"/>
      <c r="H189" s="35"/>
      <c r="I189" s="35"/>
      <c r="J189" s="35"/>
      <c r="K189" s="35"/>
      <c r="L189" s="35"/>
      <c r="M189" s="35"/>
      <c r="N189" s="35"/>
    </row>
    <row r="190" spans="4:14" x14ac:dyDescent="0.2">
      <c r="D190" s="35"/>
      <c r="E190" s="35"/>
      <c r="F190" s="35"/>
      <c r="G190" s="35"/>
      <c r="H190" s="35"/>
      <c r="I190" s="35"/>
      <c r="J190" s="35"/>
      <c r="K190" s="35"/>
      <c r="L190" s="35"/>
      <c r="M190" s="35"/>
      <c r="N190" s="35"/>
    </row>
    <row r="191" spans="4:14" x14ac:dyDescent="0.2">
      <c r="D191" s="35"/>
      <c r="E191" s="35"/>
      <c r="F191" s="35"/>
      <c r="G191" s="35"/>
      <c r="H191" s="35"/>
      <c r="I191" s="35"/>
      <c r="J191" s="35"/>
      <c r="K191" s="35"/>
      <c r="L191" s="35"/>
      <c r="M191" s="35"/>
      <c r="N191" s="35"/>
    </row>
    <row r="192" spans="4:14" x14ac:dyDescent="0.2">
      <c r="D192" s="35"/>
      <c r="E192" s="35"/>
      <c r="F192" s="35"/>
      <c r="G192" s="35"/>
      <c r="H192" s="35"/>
      <c r="I192" s="35"/>
      <c r="J192" s="35"/>
      <c r="K192" s="35"/>
      <c r="L192" s="35"/>
      <c r="M192" s="35"/>
      <c r="N192" s="35"/>
    </row>
    <row r="193" spans="4:14" x14ac:dyDescent="0.2">
      <c r="D193" s="35"/>
      <c r="E193" s="35"/>
      <c r="F193" s="35"/>
      <c r="G193" s="35"/>
      <c r="H193" s="35"/>
      <c r="I193" s="35"/>
      <c r="J193" s="35"/>
      <c r="K193" s="35"/>
      <c r="L193" s="35"/>
      <c r="M193" s="35"/>
      <c r="N193" s="35"/>
    </row>
    <row r="194" spans="4:14" x14ac:dyDescent="0.2">
      <c r="D194" s="35"/>
      <c r="E194" s="35"/>
      <c r="F194" s="35"/>
      <c r="G194" s="35"/>
      <c r="H194" s="35"/>
      <c r="I194" s="35"/>
      <c r="J194" s="35"/>
      <c r="K194" s="35"/>
      <c r="L194" s="35"/>
      <c r="M194" s="35"/>
      <c r="N194" s="35"/>
    </row>
    <row r="195" spans="4:14" x14ac:dyDescent="0.2">
      <c r="D195" s="35"/>
      <c r="E195" s="35"/>
      <c r="F195" s="35"/>
      <c r="G195" s="35"/>
      <c r="H195" s="35"/>
      <c r="I195" s="35"/>
      <c r="J195" s="35"/>
      <c r="K195" s="35"/>
      <c r="L195" s="35"/>
      <c r="M195" s="35"/>
      <c r="N195" s="35"/>
    </row>
    <row r="196" spans="4:14" x14ac:dyDescent="0.2">
      <c r="D196" s="35"/>
      <c r="E196" s="35"/>
      <c r="F196" s="35"/>
      <c r="G196" s="35"/>
      <c r="H196" s="35"/>
      <c r="I196" s="35"/>
      <c r="J196" s="35"/>
      <c r="K196" s="35"/>
      <c r="L196" s="35"/>
      <c r="M196" s="35"/>
      <c r="N196" s="35"/>
    </row>
    <row r="197" spans="4:14" x14ac:dyDescent="0.2">
      <c r="D197" s="35"/>
      <c r="E197" s="35"/>
      <c r="F197" s="35"/>
      <c r="G197" s="35"/>
      <c r="H197" s="35"/>
      <c r="I197" s="35"/>
      <c r="J197" s="35"/>
      <c r="K197" s="35"/>
      <c r="L197" s="35"/>
      <c r="M197" s="35"/>
      <c r="N197" s="35"/>
    </row>
    <row r="198" spans="4:14" x14ac:dyDescent="0.2">
      <c r="D198" s="35"/>
      <c r="E198" s="35"/>
      <c r="F198" s="35"/>
      <c r="G198" s="35"/>
      <c r="H198" s="35"/>
      <c r="I198" s="35"/>
      <c r="J198" s="35"/>
      <c r="K198" s="35"/>
      <c r="L198" s="35"/>
      <c r="M198" s="35"/>
      <c r="N198" s="35"/>
    </row>
    <row r="199" spans="4:14" x14ac:dyDescent="0.2">
      <c r="D199" s="35"/>
      <c r="E199" s="35"/>
      <c r="F199" s="35"/>
      <c r="G199" s="35"/>
      <c r="H199" s="35"/>
      <c r="I199" s="35"/>
      <c r="J199" s="35"/>
      <c r="K199" s="35"/>
      <c r="L199" s="35"/>
      <c r="M199" s="35"/>
      <c r="N199" s="35"/>
    </row>
    <row r="200" spans="4:14" x14ac:dyDescent="0.2">
      <c r="D200" s="35"/>
      <c r="E200" s="35"/>
      <c r="F200" s="35"/>
      <c r="G200" s="35"/>
      <c r="H200" s="35"/>
      <c r="I200" s="35"/>
      <c r="J200" s="35"/>
      <c r="K200" s="35"/>
      <c r="L200" s="35"/>
      <c r="M200" s="35"/>
      <c r="N200" s="35"/>
    </row>
    <row r="201" spans="4:14" x14ac:dyDescent="0.2">
      <c r="D201" s="35"/>
      <c r="E201" s="35"/>
      <c r="F201" s="35"/>
      <c r="G201" s="35"/>
      <c r="H201" s="35"/>
      <c r="I201" s="35"/>
      <c r="J201" s="35"/>
      <c r="K201" s="35"/>
      <c r="L201" s="35"/>
      <c r="M201" s="35"/>
      <c r="N201" s="35"/>
    </row>
    <row r="202" spans="4:14" x14ac:dyDescent="0.2">
      <c r="D202" s="35"/>
      <c r="E202" s="35"/>
      <c r="F202" s="35"/>
      <c r="G202" s="35"/>
      <c r="H202" s="35"/>
      <c r="I202" s="35"/>
      <c r="J202" s="35"/>
      <c r="K202" s="35"/>
      <c r="L202" s="35"/>
      <c r="M202" s="35"/>
      <c r="N202" s="35"/>
    </row>
    <row r="203" spans="4:14" x14ac:dyDescent="0.2">
      <c r="D203" s="35"/>
      <c r="E203" s="35"/>
      <c r="F203" s="35"/>
      <c r="G203" s="35"/>
      <c r="H203" s="35"/>
      <c r="I203" s="35"/>
      <c r="J203" s="35"/>
      <c r="K203" s="35"/>
      <c r="L203" s="35"/>
      <c r="M203" s="35"/>
      <c r="N203" s="35"/>
    </row>
    <row r="204" spans="4:14" x14ac:dyDescent="0.2">
      <c r="D204" s="35"/>
      <c r="E204" s="35"/>
      <c r="F204" s="35"/>
      <c r="G204" s="35"/>
      <c r="H204" s="35"/>
      <c r="I204" s="35"/>
      <c r="J204" s="35"/>
      <c r="K204" s="35"/>
      <c r="L204" s="35"/>
      <c r="M204" s="35"/>
      <c r="N204" s="35"/>
    </row>
    <row r="205" spans="4:14" x14ac:dyDescent="0.2">
      <c r="D205" s="35"/>
      <c r="E205" s="35"/>
      <c r="F205" s="35"/>
      <c r="G205" s="35"/>
      <c r="H205" s="35"/>
      <c r="I205" s="35"/>
      <c r="J205" s="35"/>
      <c r="K205" s="35"/>
      <c r="L205" s="35"/>
      <c r="M205" s="35"/>
      <c r="N205" s="35"/>
    </row>
    <row r="206" spans="4:14" x14ac:dyDescent="0.2">
      <c r="D206" s="35"/>
      <c r="E206" s="35"/>
      <c r="F206" s="35"/>
      <c r="G206" s="35"/>
      <c r="H206" s="35"/>
      <c r="I206" s="35"/>
      <c r="J206" s="35"/>
      <c r="K206" s="35"/>
      <c r="L206" s="35"/>
      <c r="M206" s="35"/>
      <c r="N206" s="35"/>
    </row>
    <row r="207" spans="4:14" x14ac:dyDescent="0.2">
      <c r="D207" s="35"/>
      <c r="E207" s="35"/>
      <c r="F207" s="35"/>
      <c r="G207" s="35"/>
      <c r="H207" s="35"/>
      <c r="I207" s="35"/>
      <c r="J207" s="35"/>
      <c r="K207" s="35"/>
      <c r="L207" s="35"/>
      <c r="M207" s="35"/>
      <c r="N207" s="35"/>
    </row>
    <row r="208" spans="4:14" x14ac:dyDescent="0.2">
      <c r="D208" s="35"/>
      <c r="E208" s="35"/>
      <c r="F208" s="35"/>
      <c r="G208" s="35"/>
      <c r="H208" s="35"/>
      <c r="I208" s="35"/>
      <c r="J208" s="35"/>
      <c r="K208" s="35"/>
      <c r="L208" s="35"/>
      <c r="M208" s="35"/>
      <c r="N208" s="35"/>
    </row>
    <row r="209" spans="4:14" x14ac:dyDescent="0.2">
      <c r="D209" s="35"/>
      <c r="E209" s="35"/>
      <c r="F209" s="35"/>
      <c r="G209" s="35"/>
      <c r="H209" s="35"/>
      <c r="I209" s="35"/>
      <c r="J209" s="35"/>
      <c r="K209" s="35"/>
      <c r="L209" s="35"/>
      <c r="M209" s="35"/>
      <c r="N209" s="35"/>
    </row>
    <row r="210" spans="4:14" x14ac:dyDescent="0.2">
      <c r="D210" s="35"/>
      <c r="E210" s="35"/>
      <c r="F210" s="35"/>
      <c r="G210" s="35"/>
      <c r="H210" s="35"/>
      <c r="I210" s="35"/>
      <c r="J210" s="35"/>
      <c r="K210" s="35"/>
      <c r="L210" s="35"/>
      <c r="M210" s="35"/>
      <c r="N210" s="35"/>
    </row>
    <row r="211" spans="4:14" x14ac:dyDescent="0.2">
      <c r="D211" s="35"/>
      <c r="E211" s="35"/>
      <c r="F211" s="35"/>
      <c r="G211" s="35"/>
      <c r="H211" s="35"/>
      <c r="I211" s="35"/>
      <c r="J211" s="35"/>
      <c r="K211" s="35"/>
      <c r="L211" s="35"/>
      <c r="M211" s="35"/>
      <c r="N211" s="35"/>
    </row>
    <row r="212" spans="4:14" x14ac:dyDescent="0.2">
      <c r="D212" s="35"/>
      <c r="E212" s="35"/>
      <c r="F212" s="35"/>
      <c r="G212" s="35"/>
      <c r="H212" s="35"/>
      <c r="I212" s="35"/>
      <c r="J212" s="35"/>
      <c r="K212" s="35"/>
      <c r="L212" s="35"/>
      <c r="M212" s="35"/>
      <c r="N212" s="35"/>
    </row>
    <row r="213" spans="4:14" x14ac:dyDescent="0.2">
      <c r="D213" s="35"/>
      <c r="E213" s="35"/>
      <c r="F213" s="35"/>
      <c r="G213" s="35"/>
      <c r="H213" s="35"/>
      <c r="I213" s="35"/>
      <c r="J213" s="35"/>
      <c r="K213" s="35"/>
      <c r="L213" s="35"/>
      <c r="M213" s="35"/>
      <c r="N213" s="35"/>
    </row>
    <row r="214" spans="4:14" x14ac:dyDescent="0.2">
      <c r="D214" s="35"/>
      <c r="E214" s="35"/>
      <c r="F214" s="35"/>
      <c r="G214" s="35"/>
      <c r="H214" s="35"/>
      <c r="I214" s="35"/>
      <c r="J214" s="35"/>
      <c r="K214" s="35"/>
      <c r="L214" s="35"/>
      <c r="M214" s="35"/>
      <c r="N214" s="35"/>
    </row>
    <row r="215" spans="4:14" x14ac:dyDescent="0.2">
      <c r="D215" s="35"/>
      <c r="E215" s="35"/>
      <c r="F215" s="35"/>
      <c r="G215" s="35"/>
      <c r="H215" s="35"/>
      <c r="I215" s="35"/>
      <c r="J215" s="35"/>
      <c r="K215" s="35"/>
      <c r="L215" s="35"/>
      <c r="M215" s="35"/>
      <c r="N215" s="35"/>
    </row>
    <row r="216" spans="4:14" x14ac:dyDescent="0.2">
      <c r="D216" s="35"/>
      <c r="E216" s="35"/>
      <c r="F216" s="35"/>
      <c r="G216" s="35"/>
      <c r="H216" s="35"/>
      <c r="I216" s="35"/>
      <c r="J216" s="35"/>
      <c r="K216" s="35"/>
      <c r="L216" s="35"/>
      <c r="M216" s="35"/>
      <c r="N216" s="35"/>
    </row>
    <row r="217" spans="4:14" x14ac:dyDescent="0.2">
      <c r="D217" s="35"/>
      <c r="E217" s="35"/>
      <c r="F217" s="35"/>
      <c r="G217" s="35"/>
      <c r="H217" s="35"/>
      <c r="I217" s="35"/>
      <c r="J217" s="35"/>
      <c r="K217" s="35"/>
      <c r="L217" s="35"/>
      <c r="M217" s="35"/>
      <c r="N217" s="35"/>
    </row>
    <row r="218" spans="4:14" x14ac:dyDescent="0.2">
      <c r="D218" s="35"/>
      <c r="E218" s="35"/>
      <c r="F218" s="35"/>
      <c r="G218" s="35"/>
      <c r="H218" s="35"/>
      <c r="I218" s="35"/>
      <c r="J218" s="35"/>
      <c r="K218" s="35"/>
      <c r="L218" s="35"/>
      <c r="M218" s="35"/>
      <c r="N218" s="35"/>
    </row>
    <row r="219" spans="4:14" x14ac:dyDescent="0.2">
      <c r="D219" s="35"/>
      <c r="E219" s="35"/>
      <c r="F219" s="35"/>
      <c r="G219" s="35"/>
      <c r="H219" s="35"/>
      <c r="I219" s="35"/>
      <c r="J219" s="35"/>
      <c r="K219" s="35"/>
      <c r="L219" s="35"/>
      <c r="M219" s="35"/>
      <c r="N219" s="35"/>
    </row>
    <row r="220" spans="4:14" x14ac:dyDescent="0.2">
      <c r="D220" s="35"/>
      <c r="E220" s="35"/>
      <c r="F220" s="35"/>
      <c r="G220" s="35"/>
      <c r="H220" s="35"/>
      <c r="I220" s="35"/>
      <c r="J220" s="35"/>
      <c r="K220" s="35"/>
      <c r="L220" s="35"/>
      <c r="M220" s="35"/>
      <c r="N220" s="35"/>
    </row>
    <row r="221" spans="4:14" x14ac:dyDescent="0.2">
      <c r="D221" s="35"/>
      <c r="E221" s="35"/>
      <c r="F221" s="35"/>
      <c r="G221" s="35"/>
      <c r="H221" s="35"/>
      <c r="I221" s="35"/>
      <c r="J221" s="35"/>
      <c r="K221" s="35"/>
      <c r="L221" s="35"/>
      <c r="M221" s="35"/>
      <c r="N221" s="35"/>
    </row>
    <row r="222" spans="4:14" x14ac:dyDescent="0.2">
      <c r="D222" s="35"/>
      <c r="E222" s="35"/>
      <c r="F222" s="35"/>
      <c r="G222" s="35"/>
      <c r="H222" s="35"/>
      <c r="I222" s="35"/>
      <c r="J222" s="35"/>
      <c r="K222" s="35"/>
      <c r="L222" s="35"/>
      <c r="M222" s="35"/>
      <c r="N222" s="35"/>
    </row>
    <row r="223" spans="4:14" x14ac:dyDescent="0.2">
      <c r="D223" s="35"/>
      <c r="E223" s="35"/>
      <c r="F223" s="35"/>
      <c r="G223" s="35"/>
      <c r="H223" s="35"/>
      <c r="I223" s="35"/>
      <c r="J223" s="35"/>
      <c r="K223" s="35"/>
      <c r="L223" s="35"/>
      <c r="M223" s="35"/>
      <c r="N223" s="35"/>
    </row>
    <row r="224" spans="4:14" x14ac:dyDescent="0.2">
      <c r="D224" s="35"/>
      <c r="E224" s="35"/>
      <c r="F224" s="35"/>
      <c r="G224" s="35"/>
      <c r="H224" s="35"/>
      <c r="I224" s="35"/>
      <c r="J224" s="35"/>
      <c r="K224" s="35"/>
      <c r="L224" s="35"/>
      <c r="M224" s="35"/>
      <c r="N224" s="35"/>
    </row>
    <row r="225" spans="4:14" x14ac:dyDescent="0.2">
      <c r="D225" s="35"/>
      <c r="E225" s="35"/>
      <c r="F225" s="35"/>
      <c r="G225" s="35"/>
      <c r="H225" s="35"/>
      <c r="I225" s="35"/>
      <c r="J225" s="35"/>
      <c r="K225" s="35"/>
      <c r="L225" s="35"/>
      <c r="M225" s="35"/>
      <c r="N225" s="35"/>
    </row>
    <row r="226" spans="4:14" x14ac:dyDescent="0.2">
      <c r="D226" s="35"/>
      <c r="E226" s="35"/>
      <c r="F226" s="35"/>
      <c r="G226" s="35"/>
      <c r="H226" s="35"/>
      <c r="I226" s="35"/>
      <c r="J226" s="35"/>
      <c r="K226" s="35"/>
      <c r="L226" s="35"/>
      <c r="M226" s="35"/>
      <c r="N226" s="35"/>
    </row>
    <row r="227" spans="4:14" x14ac:dyDescent="0.2">
      <c r="D227" s="35"/>
      <c r="E227" s="35"/>
      <c r="F227" s="35"/>
      <c r="G227" s="35"/>
      <c r="H227" s="35"/>
      <c r="I227" s="35"/>
      <c r="J227" s="35"/>
      <c r="K227" s="35"/>
      <c r="L227" s="35"/>
      <c r="M227" s="35"/>
      <c r="N227" s="35"/>
    </row>
    <row r="228" spans="4:14" x14ac:dyDescent="0.2">
      <c r="D228" s="35"/>
      <c r="E228" s="35"/>
      <c r="F228" s="35"/>
      <c r="G228" s="35"/>
      <c r="H228" s="35"/>
      <c r="I228" s="35"/>
      <c r="J228" s="35"/>
      <c r="K228" s="35"/>
      <c r="L228" s="35"/>
      <c r="M228" s="35"/>
      <c r="N228" s="35"/>
    </row>
    <row r="229" spans="4:14" x14ac:dyDescent="0.2">
      <c r="D229" s="35"/>
      <c r="E229" s="35"/>
      <c r="F229" s="35"/>
      <c r="G229" s="35"/>
      <c r="H229" s="35"/>
      <c r="I229" s="35"/>
      <c r="J229" s="35"/>
      <c r="K229" s="35"/>
      <c r="L229" s="35"/>
      <c r="M229" s="35"/>
      <c r="N229" s="35"/>
    </row>
    <row r="230" spans="4:14" x14ac:dyDescent="0.2">
      <c r="D230" s="35"/>
      <c r="E230" s="35"/>
      <c r="F230" s="35"/>
      <c r="G230" s="35"/>
      <c r="H230" s="35"/>
      <c r="I230" s="35"/>
      <c r="J230" s="35"/>
      <c r="K230" s="35"/>
      <c r="L230" s="35"/>
      <c r="M230" s="35"/>
      <c r="N230" s="35"/>
    </row>
    <row r="231" spans="4:14" x14ac:dyDescent="0.2">
      <c r="D231" s="35"/>
      <c r="E231" s="35"/>
      <c r="F231" s="35"/>
      <c r="G231" s="35"/>
      <c r="H231" s="35"/>
      <c r="I231" s="35"/>
      <c r="J231" s="35"/>
      <c r="K231" s="35"/>
      <c r="L231" s="35"/>
      <c r="M231" s="35"/>
      <c r="N231" s="35"/>
    </row>
    <row r="232" spans="4:14" x14ac:dyDescent="0.2">
      <c r="D232" s="35"/>
      <c r="E232" s="35"/>
      <c r="F232" s="35"/>
      <c r="G232" s="35"/>
      <c r="H232" s="35"/>
      <c r="I232" s="35"/>
      <c r="J232" s="35"/>
      <c r="K232" s="35"/>
      <c r="L232" s="35"/>
      <c r="M232" s="35"/>
      <c r="N232" s="35"/>
    </row>
    <row r="233" spans="4:14" x14ac:dyDescent="0.2">
      <c r="D233" s="35"/>
      <c r="E233" s="35"/>
      <c r="F233" s="35"/>
      <c r="G233" s="35"/>
      <c r="H233" s="35"/>
      <c r="I233" s="35"/>
      <c r="J233" s="35"/>
      <c r="K233" s="35"/>
      <c r="L233" s="35"/>
      <c r="M233" s="35"/>
      <c r="N233" s="35"/>
    </row>
    <row r="234" spans="4:14" x14ac:dyDescent="0.2">
      <c r="D234" s="35"/>
      <c r="E234" s="35"/>
      <c r="F234" s="35"/>
      <c r="G234" s="35"/>
      <c r="H234" s="35"/>
      <c r="I234" s="35"/>
      <c r="J234" s="35"/>
      <c r="K234" s="35"/>
      <c r="L234" s="35"/>
      <c r="M234" s="35"/>
      <c r="N234" s="35"/>
    </row>
    <row r="235" spans="4:14" x14ac:dyDescent="0.2">
      <c r="D235" s="35"/>
      <c r="E235" s="35"/>
      <c r="F235" s="35"/>
      <c r="G235" s="35"/>
      <c r="H235" s="35"/>
      <c r="I235" s="35"/>
      <c r="J235" s="35"/>
      <c r="K235" s="35"/>
      <c r="L235" s="35"/>
      <c r="M235" s="35"/>
      <c r="N235" s="35"/>
    </row>
    <row r="236" spans="4:14" x14ac:dyDescent="0.2">
      <c r="D236" s="35"/>
      <c r="E236" s="35"/>
      <c r="F236" s="35"/>
      <c r="G236" s="35"/>
      <c r="H236" s="35"/>
      <c r="I236" s="35"/>
      <c r="J236" s="35"/>
      <c r="K236" s="35"/>
      <c r="L236" s="35"/>
      <c r="M236" s="35"/>
      <c r="N236" s="35"/>
    </row>
    <row r="237" spans="4:14" x14ac:dyDescent="0.2">
      <c r="D237" s="35"/>
      <c r="E237" s="35"/>
      <c r="F237" s="35"/>
      <c r="G237" s="35"/>
      <c r="H237" s="35"/>
      <c r="I237" s="35"/>
      <c r="J237" s="35"/>
      <c r="K237" s="35"/>
      <c r="L237" s="35"/>
      <c r="M237" s="35"/>
      <c r="N237" s="35"/>
    </row>
    <row r="238" spans="4:14" x14ac:dyDescent="0.2">
      <c r="D238" s="35"/>
      <c r="E238" s="35"/>
      <c r="F238" s="35"/>
      <c r="G238" s="35"/>
      <c r="H238" s="35"/>
      <c r="I238" s="35"/>
      <c r="J238" s="35"/>
      <c r="K238" s="35"/>
      <c r="L238" s="35"/>
      <c r="M238" s="35"/>
      <c r="N238" s="35"/>
    </row>
    <row r="239" spans="4:14" x14ac:dyDescent="0.2">
      <c r="D239" s="35"/>
      <c r="E239" s="35"/>
      <c r="F239" s="35"/>
      <c r="G239" s="35"/>
      <c r="H239" s="35"/>
      <c r="I239" s="35"/>
      <c r="J239" s="35"/>
      <c r="K239" s="35"/>
      <c r="L239" s="35"/>
      <c r="M239" s="35"/>
      <c r="N239" s="35"/>
    </row>
    <row r="240" spans="4:14" x14ac:dyDescent="0.2">
      <c r="D240" s="35"/>
      <c r="E240" s="35"/>
      <c r="F240" s="35"/>
      <c r="G240" s="35"/>
      <c r="H240" s="35"/>
      <c r="I240" s="35"/>
      <c r="J240" s="35"/>
      <c r="K240" s="35"/>
      <c r="L240" s="35"/>
      <c r="M240" s="35"/>
      <c r="N240" s="35"/>
    </row>
    <row r="241" spans="4:14" x14ac:dyDescent="0.2">
      <c r="D241" s="35"/>
      <c r="E241" s="35"/>
      <c r="F241" s="35"/>
      <c r="G241" s="35"/>
      <c r="H241" s="35"/>
      <c r="I241" s="35"/>
      <c r="J241" s="35"/>
      <c r="K241" s="35"/>
      <c r="L241" s="35"/>
      <c r="M241" s="35"/>
      <c r="N241" s="35"/>
    </row>
    <row r="242" spans="4:14" x14ac:dyDescent="0.2">
      <c r="D242" s="35"/>
      <c r="E242" s="35"/>
      <c r="F242" s="35"/>
      <c r="G242" s="35"/>
      <c r="H242" s="35"/>
      <c r="I242" s="35"/>
      <c r="J242" s="35"/>
      <c r="K242" s="35"/>
      <c r="L242" s="35"/>
      <c r="M242" s="35"/>
      <c r="N242" s="35"/>
    </row>
    <row r="243" spans="4:14" x14ac:dyDescent="0.2">
      <c r="D243" s="35"/>
      <c r="E243" s="35"/>
      <c r="F243" s="35"/>
      <c r="G243" s="35"/>
      <c r="H243" s="35"/>
      <c r="I243" s="35"/>
      <c r="J243" s="35"/>
      <c r="K243" s="35"/>
      <c r="L243" s="35"/>
      <c r="M243" s="35"/>
      <c r="N243" s="35"/>
    </row>
    <row r="244" spans="4:14" x14ac:dyDescent="0.2">
      <c r="D244" s="35"/>
      <c r="E244" s="35"/>
      <c r="F244" s="35"/>
      <c r="G244" s="35"/>
      <c r="H244" s="35"/>
      <c r="I244" s="35"/>
      <c r="J244" s="35"/>
      <c r="K244" s="35"/>
      <c r="L244" s="35"/>
      <c r="M244" s="35"/>
      <c r="N244" s="35"/>
    </row>
    <row r="245" spans="4:14" x14ac:dyDescent="0.2">
      <c r="D245" s="35"/>
      <c r="E245" s="35"/>
      <c r="F245" s="35"/>
      <c r="G245" s="35"/>
      <c r="H245" s="35"/>
      <c r="I245" s="35"/>
      <c r="J245" s="35"/>
      <c r="K245" s="35"/>
      <c r="L245" s="35"/>
      <c r="M245" s="35"/>
      <c r="N245" s="35"/>
    </row>
    <row r="246" spans="4:14" x14ac:dyDescent="0.2">
      <c r="D246" s="35"/>
      <c r="E246" s="35"/>
      <c r="F246" s="35"/>
      <c r="G246" s="35"/>
      <c r="H246" s="35"/>
      <c r="I246" s="35"/>
      <c r="J246" s="35"/>
      <c r="K246" s="35"/>
      <c r="L246" s="35"/>
      <c r="M246" s="35"/>
      <c r="N246" s="35"/>
    </row>
    <row r="247" spans="4:14" x14ac:dyDescent="0.2">
      <c r="D247" s="35"/>
      <c r="E247" s="35"/>
      <c r="F247" s="35"/>
      <c r="G247" s="35"/>
      <c r="H247" s="35"/>
      <c r="I247" s="35"/>
      <c r="J247" s="35"/>
      <c r="K247" s="35"/>
      <c r="L247" s="35"/>
      <c r="M247" s="35"/>
      <c r="N247" s="35"/>
    </row>
    <row r="248" spans="4:14" x14ac:dyDescent="0.2">
      <c r="D248" s="35"/>
      <c r="E248" s="35"/>
      <c r="F248" s="35"/>
      <c r="G248" s="35"/>
      <c r="H248" s="35"/>
      <c r="I248" s="35"/>
      <c r="J248" s="35"/>
      <c r="K248" s="35"/>
      <c r="L248" s="35"/>
      <c r="M248" s="35"/>
      <c r="N248" s="35"/>
    </row>
    <row r="249" spans="4:14" x14ac:dyDescent="0.2">
      <c r="D249" s="35"/>
      <c r="E249" s="35"/>
      <c r="F249" s="35"/>
      <c r="G249" s="35"/>
      <c r="H249" s="35"/>
      <c r="I249" s="35"/>
      <c r="J249" s="35"/>
      <c r="K249" s="35"/>
      <c r="L249" s="35"/>
      <c r="M249" s="35"/>
      <c r="N249" s="35"/>
    </row>
    <row r="250" spans="4:14" x14ac:dyDescent="0.2">
      <c r="D250" s="35"/>
      <c r="E250" s="35"/>
      <c r="F250" s="35"/>
      <c r="G250" s="35"/>
      <c r="H250" s="35"/>
      <c r="I250" s="35"/>
      <c r="J250" s="35"/>
      <c r="K250" s="35"/>
      <c r="L250" s="35"/>
      <c r="M250" s="35"/>
      <c r="N250" s="35"/>
    </row>
    <row r="251" spans="4:14" x14ac:dyDescent="0.2">
      <c r="D251" s="35"/>
      <c r="E251" s="35"/>
      <c r="F251" s="35"/>
      <c r="G251" s="35"/>
      <c r="H251" s="35"/>
      <c r="I251" s="35"/>
      <c r="J251" s="35"/>
      <c r="K251" s="35"/>
      <c r="L251" s="35"/>
      <c r="M251" s="35"/>
      <c r="N251" s="35"/>
    </row>
    <row r="252" spans="4:14" x14ac:dyDescent="0.2">
      <c r="D252" s="35"/>
      <c r="E252" s="35"/>
      <c r="F252" s="35"/>
      <c r="G252" s="35"/>
      <c r="H252" s="35"/>
      <c r="I252" s="35"/>
      <c r="J252" s="35"/>
      <c r="K252" s="35"/>
      <c r="L252" s="35"/>
      <c r="M252" s="35"/>
      <c r="N252" s="35"/>
    </row>
    <row r="253" spans="4:14" x14ac:dyDescent="0.2">
      <c r="D253" s="35"/>
      <c r="E253" s="35"/>
      <c r="F253" s="35"/>
      <c r="G253" s="35"/>
      <c r="H253" s="35"/>
      <c r="I253" s="35"/>
      <c r="J253" s="35"/>
      <c r="K253" s="35"/>
      <c r="L253" s="35"/>
      <c r="M253" s="35"/>
      <c r="N253" s="35"/>
    </row>
    <row r="254" spans="4:14" x14ac:dyDescent="0.2">
      <c r="D254" s="35"/>
      <c r="E254" s="35"/>
      <c r="F254" s="35"/>
      <c r="G254" s="35"/>
      <c r="H254" s="35"/>
      <c r="I254" s="35"/>
      <c r="J254" s="35"/>
      <c r="K254" s="35"/>
      <c r="L254" s="35"/>
      <c r="M254" s="35"/>
      <c r="N254" s="35"/>
    </row>
    <row r="255" spans="4:14" x14ac:dyDescent="0.2">
      <c r="D255" s="35"/>
      <c r="E255" s="35"/>
      <c r="F255" s="35"/>
      <c r="G255" s="35"/>
      <c r="H255" s="35"/>
      <c r="I255" s="35"/>
      <c r="J255" s="35"/>
      <c r="K255" s="35"/>
      <c r="L255" s="35"/>
      <c r="M255" s="35"/>
      <c r="N255" s="35"/>
    </row>
    <row r="256" spans="4:14" x14ac:dyDescent="0.2">
      <c r="D256" s="35"/>
      <c r="E256" s="35"/>
      <c r="F256" s="35"/>
      <c r="G256" s="35"/>
      <c r="H256" s="35"/>
      <c r="I256" s="35"/>
      <c r="J256" s="35"/>
      <c r="K256" s="35"/>
      <c r="L256" s="35"/>
      <c r="M256" s="35"/>
      <c r="N256" s="35"/>
    </row>
    <row r="257" spans="4:14" x14ac:dyDescent="0.2">
      <c r="D257" s="35"/>
      <c r="E257" s="35"/>
      <c r="F257" s="35"/>
      <c r="G257" s="35"/>
      <c r="H257" s="35"/>
      <c r="I257" s="35"/>
      <c r="J257" s="35"/>
      <c r="K257" s="35"/>
      <c r="L257" s="35"/>
      <c r="M257" s="35"/>
      <c r="N257" s="35"/>
    </row>
    <row r="258" spans="4:14" x14ac:dyDescent="0.2">
      <c r="D258" s="35"/>
      <c r="E258" s="35"/>
      <c r="F258" s="35"/>
      <c r="G258" s="35"/>
      <c r="H258" s="35"/>
      <c r="I258" s="35"/>
      <c r="J258" s="35"/>
      <c r="K258" s="35"/>
      <c r="L258" s="35"/>
      <c r="M258" s="35"/>
      <c r="N258" s="35"/>
    </row>
    <row r="259" spans="4:14" x14ac:dyDescent="0.2">
      <c r="D259" s="35"/>
      <c r="E259" s="35"/>
      <c r="F259" s="35"/>
      <c r="G259" s="35"/>
      <c r="H259" s="35"/>
      <c r="I259" s="35"/>
      <c r="J259" s="35"/>
      <c r="K259" s="35"/>
      <c r="L259" s="35"/>
      <c r="M259" s="35"/>
      <c r="N259" s="35"/>
    </row>
    <row r="260" spans="4:14" x14ac:dyDescent="0.2">
      <c r="D260" s="35"/>
      <c r="E260" s="35"/>
      <c r="F260" s="35"/>
      <c r="G260" s="35"/>
      <c r="H260" s="35"/>
      <c r="I260" s="35"/>
      <c r="J260" s="35"/>
      <c r="K260" s="35"/>
      <c r="L260" s="35"/>
      <c r="M260" s="35"/>
      <c r="N260" s="35"/>
    </row>
    <row r="261" spans="4:14" x14ac:dyDescent="0.2">
      <c r="D261" s="35"/>
      <c r="E261" s="35"/>
      <c r="F261" s="35"/>
      <c r="G261" s="35"/>
      <c r="H261" s="35"/>
      <c r="I261" s="35"/>
      <c r="J261" s="35"/>
      <c r="K261" s="35"/>
      <c r="L261" s="35"/>
      <c r="M261" s="35"/>
      <c r="N261" s="35"/>
    </row>
    <row r="262" spans="4:14" x14ac:dyDescent="0.2">
      <c r="D262" s="35"/>
      <c r="E262" s="35"/>
      <c r="F262" s="35"/>
      <c r="G262" s="35"/>
      <c r="H262" s="35"/>
      <c r="I262" s="35"/>
      <c r="J262" s="35"/>
      <c r="K262" s="35"/>
      <c r="L262" s="35"/>
      <c r="M262" s="35"/>
      <c r="N262" s="35"/>
    </row>
    <row r="263" spans="4:14" x14ac:dyDescent="0.2">
      <c r="D263" s="35"/>
      <c r="E263" s="35"/>
      <c r="F263" s="35"/>
      <c r="G263" s="35"/>
      <c r="H263" s="35"/>
      <c r="I263" s="35"/>
      <c r="J263" s="35"/>
      <c r="K263" s="35"/>
      <c r="L263" s="35"/>
      <c r="M263" s="35"/>
      <c r="N263" s="35"/>
    </row>
    <row r="264" spans="4:14" x14ac:dyDescent="0.2">
      <c r="D264" s="35"/>
      <c r="E264" s="35"/>
      <c r="F264" s="35"/>
      <c r="G264" s="35"/>
      <c r="H264" s="35"/>
      <c r="I264" s="35"/>
      <c r="J264" s="35"/>
      <c r="K264" s="35"/>
      <c r="L264" s="35"/>
      <c r="M264" s="35"/>
      <c r="N264" s="35"/>
    </row>
    <row r="265" spans="4:14" x14ac:dyDescent="0.2">
      <c r="D265" s="35"/>
      <c r="E265" s="35"/>
      <c r="F265" s="35"/>
      <c r="G265" s="35"/>
      <c r="H265" s="35"/>
      <c r="I265" s="35"/>
      <c r="J265" s="35"/>
      <c r="K265" s="35"/>
      <c r="L265" s="35"/>
      <c r="M265" s="35"/>
      <c r="N265" s="35"/>
    </row>
    <row r="266" spans="4:14" x14ac:dyDescent="0.2">
      <c r="D266" s="35"/>
      <c r="E266" s="35"/>
      <c r="F266" s="35"/>
      <c r="G266" s="35"/>
      <c r="H266" s="35"/>
      <c r="I266" s="35"/>
      <c r="J266" s="35"/>
      <c r="K266" s="35"/>
      <c r="L266" s="35"/>
      <c r="M266" s="35"/>
      <c r="N266" s="35"/>
    </row>
    <row r="267" spans="4:14" x14ac:dyDescent="0.2">
      <c r="D267" s="35"/>
      <c r="E267" s="35"/>
      <c r="F267" s="35"/>
      <c r="G267" s="35"/>
      <c r="H267" s="35"/>
      <c r="I267" s="35"/>
      <c r="J267" s="35"/>
      <c r="K267" s="35"/>
      <c r="L267" s="35"/>
      <c r="M267" s="35"/>
      <c r="N267" s="35"/>
    </row>
    <row r="268" spans="4:14" x14ac:dyDescent="0.2">
      <c r="D268" s="35"/>
      <c r="E268" s="35"/>
      <c r="F268" s="35"/>
      <c r="G268" s="35"/>
      <c r="H268" s="35"/>
      <c r="I268" s="35"/>
      <c r="J268" s="35"/>
      <c r="K268" s="35"/>
      <c r="L268" s="35"/>
      <c r="M268" s="35"/>
      <c r="N268" s="35"/>
    </row>
    <row r="269" spans="4:14" x14ac:dyDescent="0.2">
      <c r="D269" s="35"/>
      <c r="E269" s="35"/>
      <c r="F269" s="35"/>
      <c r="G269" s="35"/>
      <c r="H269" s="35"/>
      <c r="I269" s="35"/>
      <c r="J269" s="35"/>
      <c r="K269" s="35"/>
      <c r="L269" s="35"/>
      <c r="M269" s="35"/>
      <c r="N269" s="35"/>
    </row>
    <row r="270" spans="4:14" x14ac:dyDescent="0.2">
      <c r="D270" s="35"/>
      <c r="E270" s="35"/>
      <c r="F270" s="35"/>
      <c r="G270" s="35"/>
      <c r="H270" s="35"/>
      <c r="I270" s="35"/>
      <c r="J270" s="35"/>
      <c r="K270" s="35"/>
      <c r="L270" s="35"/>
      <c r="M270" s="35"/>
      <c r="N270" s="35"/>
    </row>
    <row r="271" spans="4:14" x14ac:dyDescent="0.2">
      <c r="D271" s="35"/>
      <c r="E271" s="35"/>
      <c r="F271" s="35"/>
      <c r="G271" s="35"/>
      <c r="H271" s="35"/>
      <c r="I271" s="35"/>
      <c r="J271" s="35"/>
      <c r="K271" s="35"/>
      <c r="L271" s="35"/>
      <c r="M271" s="35"/>
      <c r="N271" s="35"/>
    </row>
    <row r="272" spans="4:14" x14ac:dyDescent="0.2">
      <c r="D272" s="35"/>
      <c r="E272" s="35"/>
      <c r="F272" s="35"/>
      <c r="G272" s="35"/>
      <c r="H272" s="35"/>
      <c r="I272" s="35"/>
      <c r="J272" s="35"/>
      <c r="K272" s="35"/>
      <c r="L272" s="35"/>
      <c r="M272" s="35"/>
      <c r="N272" s="35"/>
    </row>
    <row r="273" spans="4:14" x14ac:dyDescent="0.2">
      <c r="D273" s="35"/>
      <c r="E273" s="35"/>
      <c r="F273" s="35"/>
      <c r="G273" s="35"/>
      <c r="H273" s="35"/>
      <c r="I273" s="35"/>
      <c r="J273" s="35"/>
      <c r="K273" s="35"/>
      <c r="L273" s="35"/>
      <c r="M273" s="35"/>
      <c r="N273" s="35"/>
    </row>
    <row r="274" spans="4:14" x14ac:dyDescent="0.2">
      <c r="D274" s="35"/>
      <c r="E274" s="35"/>
      <c r="F274" s="35"/>
      <c r="G274" s="35"/>
      <c r="H274" s="35"/>
      <c r="I274" s="35"/>
      <c r="J274" s="35"/>
      <c r="K274" s="35"/>
      <c r="L274" s="35"/>
      <c r="M274" s="35"/>
      <c r="N274" s="35"/>
    </row>
    <row r="275" spans="4:14" x14ac:dyDescent="0.2">
      <c r="D275" s="35"/>
      <c r="E275" s="35"/>
      <c r="F275" s="35"/>
      <c r="G275" s="35"/>
      <c r="H275" s="35"/>
      <c r="I275" s="35"/>
      <c r="J275" s="35"/>
      <c r="K275" s="35"/>
      <c r="L275" s="35"/>
      <c r="M275" s="35"/>
      <c r="N275" s="35"/>
    </row>
    <row r="276" spans="4:14" x14ac:dyDescent="0.2">
      <c r="D276" s="35"/>
      <c r="E276" s="35"/>
      <c r="F276" s="35"/>
      <c r="G276" s="35"/>
      <c r="H276" s="35"/>
      <c r="I276" s="35"/>
      <c r="J276" s="35"/>
      <c r="K276" s="35"/>
      <c r="L276" s="35"/>
      <c r="M276" s="35"/>
      <c r="N276" s="35"/>
    </row>
    <row r="277" spans="4:14" x14ac:dyDescent="0.2">
      <c r="D277" s="35"/>
      <c r="E277" s="35"/>
      <c r="F277" s="35"/>
      <c r="G277" s="35"/>
      <c r="H277" s="35"/>
      <c r="I277" s="35"/>
      <c r="J277" s="35"/>
      <c r="K277" s="35"/>
      <c r="L277" s="35"/>
      <c r="M277" s="35"/>
      <c r="N277" s="35"/>
    </row>
    <row r="278" spans="4:14" x14ac:dyDescent="0.2">
      <c r="D278" s="35"/>
      <c r="E278" s="35"/>
      <c r="F278" s="35"/>
      <c r="G278" s="35"/>
      <c r="H278" s="35"/>
      <c r="I278" s="35"/>
      <c r="J278" s="35"/>
      <c r="K278" s="35"/>
      <c r="L278" s="35"/>
      <c r="M278" s="35"/>
      <c r="N278" s="35"/>
    </row>
    <row r="279" spans="4:14" x14ac:dyDescent="0.2">
      <c r="D279" s="35"/>
      <c r="E279" s="35"/>
      <c r="F279" s="35"/>
      <c r="G279" s="35"/>
      <c r="H279" s="35"/>
      <c r="I279" s="35"/>
      <c r="J279" s="35"/>
      <c r="K279" s="35"/>
      <c r="L279" s="35"/>
      <c r="M279" s="35"/>
      <c r="N279" s="35"/>
    </row>
    <row r="280" spans="4:14" x14ac:dyDescent="0.2">
      <c r="D280" s="35"/>
      <c r="E280" s="35"/>
      <c r="F280" s="35"/>
      <c r="G280" s="35"/>
      <c r="H280" s="35"/>
      <c r="I280" s="35"/>
      <c r="J280" s="35"/>
      <c r="K280" s="35"/>
      <c r="L280" s="35"/>
      <c r="M280" s="35"/>
      <c r="N280" s="35"/>
    </row>
    <row r="281" spans="4:14" x14ac:dyDescent="0.2">
      <c r="D281" s="35"/>
      <c r="E281" s="35"/>
      <c r="F281" s="35"/>
      <c r="G281" s="35"/>
      <c r="H281" s="35"/>
      <c r="I281" s="35"/>
      <c r="J281" s="35"/>
      <c r="K281" s="35"/>
      <c r="L281" s="35"/>
      <c r="M281" s="35"/>
      <c r="N281" s="35"/>
    </row>
    <row r="282" spans="4:14" x14ac:dyDescent="0.2">
      <c r="D282" s="35"/>
      <c r="E282" s="35"/>
      <c r="F282" s="35"/>
      <c r="G282" s="35"/>
      <c r="H282" s="35"/>
      <c r="I282" s="35"/>
      <c r="J282" s="35"/>
      <c r="K282" s="35"/>
      <c r="L282" s="35"/>
      <c r="M282" s="35"/>
      <c r="N282" s="35"/>
    </row>
    <row r="283" spans="4:14" x14ac:dyDescent="0.2">
      <c r="D283" s="35"/>
      <c r="E283" s="35"/>
      <c r="F283" s="35"/>
      <c r="G283" s="35"/>
      <c r="H283" s="35"/>
      <c r="I283" s="35"/>
      <c r="J283" s="35"/>
      <c r="K283" s="35"/>
      <c r="L283" s="35"/>
      <c r="M283" s="35"/>
      <c r="N283" s="35"/>
    </row>
    <row r="284" spans="4:14" x14ac:dyDescent="0.2">
      <c r="D284" s="35"/>
      <c r="E284" s="35"/>
      <c r="F284" s="35"/>
      <c r="G284" s="35"/>
      <c r="H284" s="35"/>
      <c r="I284" s="35"/>
      <c r="J284" s="35"/>
      <c r="K284" s="35"/>
      <c r="L284" s="35"/>
      <c r="M284" s="35"/>
      <c r="N284" s="35"/>
    </row>
    <row r="285" spans="4:14" x14ac:dyDescent="0.2">
      <c r="D285" s="35"/>
      <c r="E285" s="35"/>
      <c r="F285" s="35"/>
      <c r="G285" s="35"/>
      <c r="H285" s="35"/>
      <c r="I285" s="35"/>
      <c r="J285" s="35"/>
      <c r="K285" s="35"/>
      <c r="L285" s="35"/>
      <c r="M285" s="35"/>
      <c r="N285" s="35"/>
    </row>
    <row r="286" spans="4:14" x14ac:dyDescent="0.2">
      <c r="D286" s="35"/>
      <c r="E286" s="35"/>
      <c r="F286" s="35"/>
      <c r="G286" s="35"/>
      <c r="H286" s="35"/>
      <c r="I286" s="35"/>
      <c r="J286" s="35"/>
      <c r="K286" s="35"/>
      <c r="L286" s="35"/>
      <c r="M286" s="35"/>
      <c r="N286" s="35"/>
    </row>
    <row r="287" spans="4:14" x14ac:dyDescent="0.2">
      <c r="D287" s="35"/>
      <c r="E287" s="35"/>
      <c r="F287" s="35"/>
      <c r="G287" s="35"/>
      <c r="H287" s="35"/>
      <c r="I287" s="35"/>
      <c r="J287" s="35"/>
      <c r="K287" s="35"/>
      <c r="L287" s="35"/>
      <c r="M287" s="35"/>
      <c r="N287" s="35"/>
    </row>
    <row r="288" spans="4:14" x14ac:dyDescent="0.2">
      <c r="D288" s="35"/>
      <c r="E288" s="35"/>
      <c r="F288" s="35"/>
      <c r="G288" s="35"/>
      <c r="H288" s="35"/>
      <c r="I288" s="35"/>
      <c r="J288" s="35"/>
      <c r="K288" s="35"/>
      <c r="L288" s="35"/>
      <c r="M288" s="35"/>
      <c r="N288" s="35"/>
    </row>
    <row r="289" spans="4:14" x14ac:dyDescent="0.2">
      <c r="D289" s="35"/>
      <c r="E289" s="35"/>
      <c r="F289" s="35"/>
      <c r="G289" s="35"/>
      <c r="H289" s="35"/>
      <c r="I289" s="35"/>
      <c r="J289" s="35"/>
      <c r="K289" s="35"/>
      <c r="L289" s="35"/>
      <c r="M289" s="35"/>
      <c r="N289" s="35"/>
    </row>
    <row r="290" spans="4:14" x14ac:dyDescent="0.2">
      <c r="D290" s="35"/>
      <c r="E290" s="35"/>
      <c r="F290" s="35"/>
      <c r="G290" s="35"/>
      <c r="H290" s="35"/>
      <c r="I290" s="35"/>
      <c r="J290" s="35"/>
      <c r="K290" s="35"/>
      <c r="L290" s="35"/>
      <c r="M290" s="35"/>
      <c r="N290" s="35"/>
    </row>
    <row r="291" spans="4:14" x14ac:dyDescent="0.2">
      <c r="D291" s="35"/>
      <c r="E291" s="35"/>
      <c r="F291" s="35"/>
      <c r="G291" s="35"/>
      <c r="H291" s="35"/>
      <c r="I291" s="35"/>
      <c r="J291" s="35"/>
      <c r="K291" s="35"/>
      <c r="L291" s="35"/>
      <c r="M291" s="35"/>
      <c r="N291" s="35"/>
    </row>
    <row r="292" spans="4:14" x14ac:dyDescent="0.2">
      <c r="D292" s="35"/>
      <c r="E292" s="35"/>
      <c r="F292" s="35"/>
      <c r="G292" s="35"/>
      <c r="H292" s="35"/>
      <c r="I292" s="35"/>
      <c r="J292" s="35"/>
      <c r="K292" s="35"/>
      <c r="L292" s="35"/>
      <c r="M292" s="35"/>
      <c r="N292" s="35"/>
    </row>
    <row r="293" spans="4:14" x14ac:dyDescent="0.2">
      <c r="D293" s="35"/>
      <c r="E293" s="35"/>
      <c r="F293" s="35"/>
      <c r="G293" s="35"/>
      <c r="H293" s="35"/>
      <c r="I293" s="35"/>
      <c r="J293" s="35"/>
      <c r="K293" s="35"/>
      <c r="L293" s="35"/>
      <c r="M293" s="35"/>
      <c r="N293" s="35"/>
    </row>
    <row r="294" spans="4:14" x14ac:dyDescent="0.2">
      <c r="D294" s="35"/>
      <c r="E294" s="35"/>
      <c r="F294" s="35"/>
      <c r="G294" s="35"/>
      <c r="H294" s="35"/>
      <c r="I294" s="35"/>
      <c r="J294" s="35"/>
      <c r="K294" s="35"/>
      <c r="L294" s="35"/>
      <c r="M294" s="35"/>
      <c r="N294" s="35"/>
    </row>
    <row r="295" spans="4:14" x14ac:dyDescent="0.2">
      <c r="D295" s="35"/>
      <c r="E295" s="35"/>
      <c r="F295" s="35"/>
      <c r="G295" s="35"/>
      <c r="H295" s="35"/>
      <c r="I295" s="35"/>
      <c r="J295" s="35"/>
      <c r="K295" s="35"/>
      <c r="L295" s="35"/>
      <c r="M295" s="35"/>
      <c r="N295" s="35"/>
    </row>
    <row r="296" spans="4:14" x14ac:dyDescent="0.2">
      <c r="D296" s="35"/>
      <c r="E296" s="35"/>
      <c r="F296" s="35"/>
      <c r="G296" s="35"/>
      <c r="H296" s="35"/>
      <c r="I296" s="35"/>
      <c r="J296" s="35"/>
      <c r="K296" s="35"/>
      <c r="L296" s="35"/>
      <c r="M296" s="35"/>
      <c r="N296" s="35"/>
    </row>
    <row r="297" spans="4:14" x14ac:dyDescent="0.2">
      <c r="D297" s="35"/>
      <c r="E297" s="35"/>
      <c r="F297" s="35"/>
      <c r="G297" s="35"/>
      <c r="H297" s="35"/>
      <c r="I297" s="35"/>
      <c r="J297" s="35"/>
      <c r="K297" s="35"/>
      <c r="L297" s="35"/>
      <c r="M297" s="35"/>
      <c r="N297" s="35"/>
    </row>
    <row r="298" spans="4:14" x14ac:dyDescent="0.2">
      <c r="D298" s="35"/>
      <c r="E298" s="35"/>
      <c r="F298" s="35"/>
      <c r="G298" s="35"/>
      <c r="H298" s="35"/>
      <c r="I298" s="35"/>
      <c r="J298" s="35"/>
      <c r="K298" s="35"/>
      <c r="L298" s="35"/>
      <c r="M298" s="35"/>
      <c r="N298" s="35"/>
    </row>
    <row r="299" spans="4:14" x14ac:dyDescent="0.2">
      <c r="D299" s="35"/>
      <c r="E299" s="35"/>
      <c r="F299" s="35"/>
      <c r="G299" s="35"/>
      <c r="H299" s="35"/>
      <c r="I299" s="35"/>
      <c r="J299" s="35"/>
      <c r="K299" s="35"/>
      <c r="L299" s="35"/>
      <c r="M299" s="35"/>
      <c r="N299" s="35"/>
    </row>
    <row r="300" spans="4:14" x14ac:dyDescent="0.2">
      <c r="D300" s="35"/>
      <c r="E300" s="35"/>
      <c r="F300" s="35"/>
      <c r="G300" s="35"/>
      <c r="H300" s="35"/>
      <c r="I300" s="35"/>
      <c r="J300" s="35"/>
      <c r="K300" s="35"/>
      <c r="L300" s="35"/>
      <c r="M300" s="35"/>
      <c r="N300" s="35"/>
    </row>
    <row r="301" spans="4:14" x14ac:dyDescent="0.2">
      <c r="D301" s="35"/>
      <c r="E301" s="35"/>
      <c r="F301" s="35"/>
      <c r="G301" s="35"/>
      <c r="H301" s="35"/>
      <c r="I301" s="35"/>
      <c r="J301" s="35"/>
      <c r="K301" s="35"/>
      <c r="L301" s="35"/>
      <c r="M301" s="35"/>
      <c r="N301" s="35"/>
    </row>
    <row r="302" spans="4:14" x14ac:dyDescent="0.2">
      <c r="D302" s="35"/>
      <c r="E302" s="35"/>
      <c r="F302" s="35"/>
      <c r="G302" s="35"/>
      <c r="H302" s="35"/>
      <c r="I302" s="35"/>
      <c r="J302" s="35"/>
      <c r="K302" s="35"/>
      <c r="L302" s="35"/>
      <c r="M302" s="35"/>
      <c r="N302" s="35"/>
    </row>
    <row r="303" spans="4:14" x14ac:dyDescent="0.2">
      <c r="D303" s="35"/>
      <c r="E303" s="35"/>
      <c r="F303" s="35"/>
      <c r="G303" s="35"/>
      <c r="H303" s="35"/>
      <c r="I303" s="35"/>
      <c r="J303" s="35"/>
      <c r="K303" s="35"/>
      <c r="L303" s="35"/>
      <c r="M303" s="35"/>
      <c r="N303" s="35"/>
    </row>
    <row r="304" spans="4:14" x14ac:dyDescent="0.2">
      <c r="D304" s="35"/>
      <c r="E304" s="35"/>
      <c r="F304" s="35"/>
      <c r="G304" s="35"/>
      <c r="H304" s="35"/>
      <c r="I304" s="35"/>
      <c r="J304" s="35"/>
      <c r="K304" s="35"/>
      <c r="L304" s="35"/>
      <c r="M304" s="35"/>
      <c r="N304" s="35"/>
    </row>
    <row r="305" spans="4:14" x14ac:dyDescent="0.2">
      <c r="D305" s="35"/>
      <c r="E305" s="35"/>
      <c r="F305" s="35"/>
      <c r="G305" s="35"/>
      <c r="H305" s="35"/>
      <c r="I305" s="35"/>
      <c r="J305" s="35"/>
      <c r="K305" s="35"/>
      <c r="L305" s="35"/>
      <c r="M305" s="35"/>
      <c r="N305" s="35"/>
    </row>
    <row r="306" spans="4:14" x14ac:dyDescent="0.2">
      <c r="D306" s="35"/>
      <c r="E306" s="35"/>
      <c r="F306" s="35"/>
      <c r="G306" s="35"/>
      <c r="H306" s="35"/>
      <c r="I306" s="35"/>
      <c r="J306" s="35"/>
      <c r="K306" s="35"/>
      <c r="L306" s="35"/>
      <c r="M306" s="35"/>
      <c r="N306" s="35"/>
    </row>
    <row r="307" spans="4:14" x14ac:dyDescent="0.2">
      <c r="D307" s="35"/>
      <c r="E307" s="35"/>
      <c r="F307" s="35"/>
      <c r="G307" s="35"/>
      <c r="H307" s="35"/>
      <c r="I307" s="35"/>
      <c r="J307" s="35"/>
      <c r="K307" s="35"/>
      <c r="L307" s="35"/>
      <c r="M307" s="35"/>
      <c r="N307" s="35"/>
    </row>
    <row r="308" spans="4:14" x14ac:dyDescent="0.2">
      <c r="D308" s="35"/>
      <c r="E308" s="35"/>
      <c r="F308" s="35"/>
      <c r="G308" s="35"/>
      <c r="H308" s="35"/>
      <c r="I308" s="35"/>
      <c r="J308" s="35"/>
      <c r="K308" s="35"/>
      <c r="L308" s="35"/>
      <c r="M308" s="35"/>
      <c r="N308" s="35"/>
    </row>
    <row r="309" spans="4:14" x14ac:dyDescent="0.2">
      <c r="D309" s="35"/>
      <c r="E309" s="35"/>
      <c r="F309" s="35"/>
      <c r="G309" s="35"/>
      <c r="H309" s="35"/>
      <c r="I309" s="35"/>
      <c r="J309" s="35"/>
      <c r="K309" s="35"/>
      <c r="L309" s="35"/>
      <c r="M309" s="35"/>
      <c r="N309" s="35"/>
    </row>
    <row r="310" spans="4:14" x14ac:dyDescent="0.2">
      <c r="D310" s="35"/>
      <c r="E310" s="35"/>
      <c r="F310" s="35"/>
      <c r="G310" s="35"/>
      <c r="H310" s="35"/>
      <c r="I310" s="35"/>
      <c r="J310" s="35"/>
      <c r="K310" s="35"/>
      <c r="L310" s="35"/>
      <c r="M310" s="35"/>
      <c r="N310" s="35"/>
    </row>
    <row r="311" spans="4:14" x14ac:dyDescent="0.2">
      <c r="D311" s="35"/>
      <c r="E311" s="35"/>
      <c r="F311" s="35"/>
      <c r="G311" s="35"/>
      <c r="H311" s="35"/>
      <c r="I311" s="35"/>
      <c r="J311" s="35"/>
      <c r="K311" s="35"/>
      <c r="L311" s="35"/>
      <c r="M311" s="35"/>
      <c r="N311" s="35"/>
    </row>
    <row r="312" spans="4:14" x14ac:dyDescent="0.2">
      <c r="D312" s="35"/>
      <c r="E312" s="35"/>
      <c r="F312" s="35"/>
      <c r="G312" s="35"/>
      <c r="H312" s="35"/>
      <c r="I312" s="35"/>
      <c r="J312" s="35"/>
      <c r="K312" s="35"/>
      <c r="L312" s="35"/>
      <c r="M312" s="35"/>
      <c r="N312" s="35"/>
    </row>
    <row r="313" spans="4:14" x14ac:dyDescent="0.2">
      <c r="D313" s="35"/>
      <c r="E313" s="35"/>
      <c r="F313" s="35"/>
      <c r="G313" s="35"/>
      <c r="H313" s="35"/>
      <c r="I313" s="35"/>
      <c r="J313" s="35"/>
      <c r="K313" s="35"/>
      <c r="L313" s="35"/>
      <c r="M313" s="35"/>
      <c r="N313" s="35"/>
    </row>
    <row r="314" spans="4:14" x14ac:dyDescent="0.2">
      <c r="D314" s="35"/>
      <c r="E314" s="35"/>
      <c r="F314" s="35"/>
      <c r="G314" s="35"/>
      <c r="H314" s="35"/>
      <c r="I314" s="35"/>
      <c r="J314" s="35"/>
      <c r="K314" s="35"/>
      <c r="L314" s="35"/>
      <c r="M314" s="35"/>
      <c r="N314" s="35"/>
    </row>
    <row r="315" spans="4:14" x14ac:dyDescent="0.2">
      <c r="D315" s="35"/>
      <c r="E315" s="35"/>
      <c r="F315" s="35"/>
      <c r="G315" s="35"/>
      <c r="H315" s="35"/>
      <c r="I315" s="35"/>
      <c r="J315" s="35"/>
      <c r="K315" s="35"/>
      <c r="L315" s="35"/>
      <c r="M315" s="35"/>
      <c r="N315" s="35"/>
    </row>
    <row r="316" spans="4:14" x14ac:dyDescent="0.2">
      <c r="D316" s="35"/>
      <c r="E316" s="35"/>
      <c r="F316" s="35"/>
      <c r="G316" s="35"/>
      <c r="H316" s="35"/>
      <c r="I316" s="35"/>
      <c r="J316" s="35"/>
      <c r="K316" s="35"/>
      <c r="L316" s="35"/>
      <c r="M316" s="35"/>
      <c r="N316" s="35"/>
    </row>
    <row r="317" spans="4:14" x14ac:dyDescent="0.2">
      <c r="D317" s="35"/>
      <c r="E317" s="35"/>
      <c r="F317" s="35"/>
      <c r="G317" s="35"/>
      <c r="H317" s="35"/>
      <c r="I317" s="35"/>
      <c r="J317" s="35"/>
      <c r="K317" s="35"/>
      <c r="L317" s="35"/>
      <c r="M317" s="35"/>
      <c r="N317" s="35"/>
    </row>
    <row r="318" spans="4:14" x14ac:dyDescent="0.2">
      <c r="D318" s="35"/>
      <c r="E318" s="35"/>
      <c r="F318" s="35"/>
      <c r="G318" s="35"/>
      <c r="H318" s="35"/>
      <c r="I318" s="35"/>
      <c r="J318" s="35"/>
      <c r="K318" s="35"/>
      <c r="L318" s="35"/>
      <c r="M318" s="35"/>
      <c r="N318" s="35"/>
    </row>
    <row r="319" spans="4:14" x14ac:dyDescent="0.2">
      <c r="D319" s="35"/>
      <c r="E319" s="35"/>
      <c r="F319" s="35"/>
      <c r="G319" s="35"/>
      <c r="H319" s="35"/>
      <c r="I319" s="35"/>
      <c r="J319" s="35"/>
      <c r="K319" s="35"/>
      <c r="L319" s="35"/>
      <c r="M319" s="35"/>
      <c r="N319" s="35"/>
    </row>
    <row r="320" spans="4:14" x14ac:dyDescent="0.2">
      <c r="D320" s="35"/>
      <c r="E320" s="35"/>
      <c r="F320" s="35"/>
      <c r="G320" s="35"/>
      <c r="H320" s="35"/>
      <c r="I320" s="35"/>
      <c r="J320" s="35"/>
      <c r="K320" s="35"/>
      <c r="L320" s="35"/>
      <c r="M320" s="35"/>
      <c r="N320" s="35"/>
    </row>
    <row r="321" spans="4:14" x14ac:dyDescent="0.2">
      <c r="D321" s="35"/>
      <c r="E321" s="35"/>
      <c r="F321" s="35"/>
      <c r="G321" s="35"/>
      <c r="H321" s="35"/>
      <c r="I321" s="35"/>
      <c r="J321" s="35"/>
      <c r="K321" s="35"/>
      <c r="L321" s="35"/>
      <c r="M321" s="35"/>
      <c r="N321" s="35"/>
    </row>
    <row r="322" spans="4:14" x14ac:dyDescent="0.2">
      <c r="D322" s="35"/>
      <c r="E322" s="35"/>
      <c r="F322" s="35"/>
      <c r="G322" s="35"/>
      <c r="H322" s="35"/>
      <c r="I322" s="35"/>
      <c r="J322" s="35"/>
      <c r="K322" s="35"/>
      <c r="L322" s="35"/>
      <c r="M322" s="35"/>
      <c r="N322" s="35"/>
    </row>
    <row r="323" spans="4:14" x14ac:dyDescent="0.2">
      <c r="D323" s="35"/>
      <c r="E323" s="35"/>
      <c r="F323" s="35"/>
      <c r="G323" s="35"/>
      <c r="H323" s="35"/>
      <c r="I323" s="35"/>
      <c r="J323" s="35"/>
      <c r="K323" s="35"/>
      <c r="L323" s="35"/>
      <c r="M323" s="35"/>
      <c r="N323" s="35"/>
    </row>
    <row r="324" spans="4:14" x14ac:dyDescent="0.2">
      <c r="D324" s="35"/>
      <c r="E324" s="35"/>
      <c r="F324" s="35"/>
      <c r="G324" s="35"/>
      <c r="H324" s="35"/>
      <c r="I324" s="35"/>
      <c r="J324" s="35"/>
      <c r="K324" s="35"/>
      <c r="L324" s="35"/>
      <c r="M324" s="35"/>
      <c r="N324" s="35"/>
    </row>
    <row r="325" spans="4:14" x14ac:dyDescent="0.2">
      <c r="D325" s="35"/>
      <c r="E325" s="35"/>
      <c r="F325" s="35"/>
      <c r="G325" s="35"/>
      <c r="H325" s="35"/>
      <c r="I325" s="35"/>
      <c r="J325" s="35"/>
      <c r="K325" s="35"/>
      <c r="L325" s="35"/>
      <c r="M325" s="35"/>
      <c r="N325" s="35"/>
    </row>
    <row r="326" spans="4:14" x14ac:dyDescent="0.2">
      <c r="D326" s="35"/>
      <c r="E326" s="35"/>
      <c r="F326" s="35"/>
      <c r="G326" s="35"/>
      <c r="H326" s="35"/>
      <c r="I326" s="35"/>
      <c r="J326" s="35"/>
      <c r="K326" s="35"/>
      <c r="L326" s="35"/>
      <c r="M326" s="35"/>
      <c r="N326" s="35"/>
    </row>
    <row r="327" spans="4:14" x14ac:dyDescent="0.2">
      <c r="D327" s="35"/>
      <c r="E327" s="35"/>
      <c r="F327" s="35"/>
      <c r="G327" s="35"/>
      <c r="H327" s="35"/>
      <c r="I327" s="35"/>
      <c r="J327" s="35"/>
      <c r="K327" s="35"/>
      <c r="L327" s="35"/>
      <c r="M327" s="35"/>
      <c r="N327" s="35"/>
    </row>
    <row r="328" spans="4:14" x14ac:dyDescent="0.2">
      <c r="D328" s="35"/>
      <c r="E328" s="35"/>
      <c r="F328" s="35"/>
      <c r="G328" s="35"/>
      <c r="H328" s="35"/>
      <c r="I328" s="35"/>
      <c r="J328" s="35"/>
      <c r="K328" s="35"/>
      <c r="L328" s="35"/>
      <c r="M328" s="35"/>
      <c r="N328" s="35"/>
    </row>
    <row r="329" spans="4:14" x14ac:dyDescent="0.2">
      <c r="D329" s="35"/>
      <c r="E329" s="35"/>
      <c r="F329" s="35"/>
      <c r="G329" s="35"/>
      <c r="H329" s="35"/>
      <c r="I329" s="35"/>
      <c r="J329" s="35"/>
      <c r="K329" s="35"/>
      <c r="L329" s="35"/>
      <c r="M329" s="35"/>
      <c r="N329" s="35"/>
    </row>
    <row r="330" spans="4:14" x14ac:dyDescent="0.2">
      <c r="D330" s="35"/>
      <c r="E330" s="35"/>
      <c r="F330" s="35"/>
      <c r="G330" s="35"/>
      <c r="H330" s="35"/>
      <c r="I330" s="35"/>
      <c r="J330" s="35"/>
      <c r="K330" s="35"/>
      <c r="L330" s="35"/>
      <c r="M330" s="35"/>
      <c r="N330" s="35"/>
    </row>
    <row r="331" spans="4:14" x14ac:dyDescent="0.2">
      <c r="D331" s="35"/>
      <c r="E331" s="35"/>
      <c r="F331" s="35"/>
      <c r="G331" s="35"/>
      <c r="H331" s="35"/>
      <c r="I331" s="35"/>
      <c r="J331" s="35"/>
      <c r="K331" s="35"/>
      <c r="L331" s="35"/>
      <c r="M331" s="35"/>
      <c r="N331" s="35"/>
    </row>
    <row r="332" spans="4:14" x14ac:dyDescent="0.2">
      <c r="D332" s="35"/>
      <c r="E332" s="35"/>
      <c r="F332" s="35"/>
      <c r="G332" s="35"/>
      <c r="H332" s="35"/>
      <c r="I332" s="35"/>
      <c r="J332" s="35"/>
      <c r="K332" s="35"/>
      <c r="L332" s="35"/>
      <c r="M332" s="35"/>
      <c r="N332" s="35"/>
    </row>
    <row r="333" spans="4:14" x14ac:dyDescent="0.2">
      <c r="D333" s="35"/>
      <c r="E333" s="35"/>
      <c r="F333" s="35"/>
      <c r="G333" s="35"/>
      <c r="H333" s="35"/>
      <c r="I333" s="35"/>
      <c r="J333" s="35"/>
      <c r="K333" s="35"/>
      <c r="L333" s="35"/>
      <c r="M333" s="35"/>
      <c r="N333" s="35"/>
    </row>
    <row r="334" spans="4:14" x14ac:dyDescent="0.2">
      <c r="D334" s="35"/>
      <c r="E334" s="35"/>
      <c r="F334" s="35"/>
      <c r="G334" s="35"/>
      <c r="H334" s="35"/>
      <c r="I334" s="35"/>
      <c r="J334" s="35"/>
      <c r="K334" s="35"/>
      <c r="L334" s="35"/>
      <c r="M334" s="35"/>
      <c r="N334" s="35"/>
    </row>
    <row r="335" spans="4:14" x14ac:dyDescent="0.2">
      <c r="D335" s="35"/>
      <c r="E335" s="35"/>
      <c r="F335" s="35"/>
      <c r="G335" s="35"/>
      <c r="H335" s="35"/>
      <c r="I335" s="35"/>
      <c r="J335" s="35"/>
      <c r="K335" s="35"/>
      <c r="L335" s="35"/>
      <c r="M335" s="35"/>
      <c r="N335" s="35"/>
    </row>
    <row r="336" spans="4:14" x14ac:dyDescent="0.2">
      <c r="D336" s="35"/>
      <c r="E336" s="35"/>
      <c r="F336" s="35"/>
      <c r="G336" s="35"/>
      <c r="H336" s="35"/>
      <c r="I336" s="35"/>
      <c r="J336" s="35"/>
      <c r="K336" s="35"/>
      <c r="L336" s="35"/>
      <c r="M336" s="35"/>
      <c r="N336" s="35"/>
    </row>
    <row r="337" spans="4:14" x14ac:dyDescent="0.2">
      <c r="D337" s="35"/>
      <c r="E337" s="35"/>
      <c r="F337" s="35"/>
      <c r="G337" s="35"/>
      <c r="H337" s="35"/>
      <c r="I337" s="35"/>
      <c r="J337" s="35"/>
      <c r="K337" s="35"/>
      <c r="L337" s="35"/>
      <c r="M337" s="35"/>
      <c r="N337" s="35"/>
    </row>
    <row r="338" spans="4:14" x14ac:dyDescent="0.2">
      <c r="D338" s="35"/>
      <c r="E338" s="35"/>
      <c r="F338" s="35"/>
      <c r="G338" s="35"/>
      <c r="H338" s="35"/>
      <c r="I338" s="35"/>
      <c r="J338" s="35"/>
      <c r="K338" s="35"/>
      <c r="L338" s="35"/>
      <c r="M338" s="35"/>
      <c r="N338" s="35"/>
    </row>
    <row r="339" spans="4:14" x14ac:dyDescent="0.2">
      <c r="D339" s="35"/>
      <c r="E339" s="35"/>
      <c r="F339" s="35"/>
      <c r="G339" s="35"/>
      <c r="H339" s="35"/>
      <c r="I339" s="35"/>
      <c r="J339" s="35"/>
      <c r="K339" s="35"/>
      <c r="L339" s="35"/>
      <c r="M339" s="35"/>
      <c r="N339" s="35"/>
    </row>
    <row r="340" spans="4:14" x14ac:dyDescent="0.2">
      <c r="D340" s="35"/>
      <c r="E340" s="35"/>
      <c r="F340" s="35"/>
      <c r="G340" s="35"/>
      <c r="H340" s="35"/>
      <c r="I340" s="35"/>
      <c r="J340" s="35"/>
      <c r="K340" s="35"/>
      <c r="L340" s="35"/>
      <c r="M340" s="35"/>
      <c r="N340" s="35"/>
    </row>
    <row r="341" spans="4:14" x14ac:dyDescent="0.2">
      <c r="D341" s="35"/>
      <c r="E341" s="35"/>
      <c r="F341" s="35"/>
      <c r="G341" s="35"/>
      <c r="H341" s="35"/>
      <c r="I341" s="35"/>
      <c r="J341" s="35"/>
      <c r="K341" s="35"/>
      <c r="L341" s="35"/>
      <c r="M341" s="35"/>
      <c r="N341" s="35"/>
    </row>
    <row r="342" spans="4:14" x14ac:dyDescent="0.2">
      <c r="D342" s="35"/>
      <c r="E342" s="35"/>
      <c r="F342" s="35"/>
      <c r="G342" s="35"/>
      <c r="H342" s="35"/>
      <c r="I342" s="35"/>
      <c r="J342" s="35"/>
      <c r="K342" s="35"/>
      <c r="L342" s="35"/>
      <c r="M342" s="35"/>
      <c r="N342" s="35"/>
    </row>
    <row r="343" spans="4:14" x14ac:dyDescent="0.2">
      <c r="D343" s="35"/>
      <c r="E343" s="35"/>
      <c r="F343" s="35"/>
      <c r="G343" s="35"/>
      <c r="H343" s="35"/>
      <c r="I343" s="35"/>
      <c r="J343" s="35"/>
      <c r="K343" s="35"/>
      <c r="L343" s="35"/>
      <c r="M343" s="35"/>
      <c r="N343" s="35"/>
    </row>
    <row r="344" spans="4:14" x14ac:dyDescent="0.2">
      <c r="D344" s="35"/>
      <c r="E344" s="35"/>
      <c r="F344" s="35"/>
      <c r="G344" s="35"/>
      <c r="H344" s="35"/>
      <c r="I344" s="35"/>
      <c r="J344" s="35"/>
      <c r="K344" s="35"/>
      <c r="L344" s="35"/>
      <c r="M344" s="35"/>
      <c r="N344" s="35"/>
    </row>
    <row r="345" spans="4:14" x14ac:dyDescent="0.2">
      <c r="D345" s="35"/>
      <c r="E345" s="35"/>
      <c r="F345" s="35"/>
      <c r="G345" s="35"/>
      <c r="H345" s="35"/>
      <c r="I345" s="35"/>
      <c r="J345" s="35"/>
      <c r="K345" s="35"/>
      <c r="L345" s="35"/>
      <c r="M345" s="35"/>
      <c r="N345" s="35"/>
    </row>
    <row r="346" spans="4:14" x14ac:dyDescent="0.2">
      <c r="D346" s="35"/>
      <c r="E346" s="35"/>
      <c r="F346" s="35"/>
      <c r="G346" s="35"/>
      <c r="H346" s="35"/>
      <c r="I346" s="35"/>
      <c r="J346" s="35"/>
      <c r="K346" s="35"/>
      <c r="L346" s="35"/>
      <c r="M346" s="35"/>
      <c r="N346" s="35"/>
    </row>
    <row r="347" spans="4:14" x14ac:dyDescent="0.2">
      <c r="D347" s="35"/>
      <c r="E347" s="35"/>
      <c r="F347" s="35"/>
      <c r="G347" s="35"/>
      <c r="H347" s="35"/>
      <c r="I347" s="35"/>
      <c r="J347" s="35"/>
      <c r="K347" s="35"/>
      <c r="L347" s="35"/>
      <c r="M347" s="35"/>
      <c r="N347" s="35"/>
    </row>
    <row r="348" spans="4:14" x14ac:dyDescent="0.2">
      <c r="D348" s="35"/>
      <c r="E348" s="35"/>
      <c r="F348" s="35"/>
      <c r="G348" s="35"/>
      <c r="H348" s="35"/>
      <c r="I348" s="35"/>
      <c r="J348" s="35"/>
      <c r="K348" s="35"/>
      <c r="L348" s="35"/>
      <c r="M348" s="35"/>
      <c r="N348" s="35"/>
    </row>
    <row r="349" spans="4:14" x14ac:dyDescent="0.2">
      <c r="D349" s="35"/>
      <c r="E349" s="35"/>
      <c r="F349" s="35"/>
      <c r="G349" s="35"/>
      <c r="H349" s="35"/>
      <c r="I349" s="35"/>
      <c r="J349" s="35"/>
      <c r="K349" s="35"/>
      <c r="L349" s="35"/>
      <c r="M349" s="35"/>
      <c r="N349" s="35"/>
    </row>
    <row r="350" spans="4:14" x14ac:dyDescent="0.2">
      <c r="D350" s="35"/>
      <c r="E350" s="35"/>
      <c r="F350" s="35"/>
      <c r="G350" s="35"/>
      <c r="H350" s="35"/>
      <c r="I350" s="35"/>
      <c r="J350" s="35"/>
      <c r="K350" s="35"/>
      <c r="L350" s="35"/>
      <c r="M350" s="35"/>
      <c r="N350" s="35"/>
    </row>
    <row r="351" spans="4:14" x14ac:dyDescent="0.2">
      <c r="D351" s="35"/>
      <c r="E351" s="35"/>
      <c r="F351" s="35"/>
      <c r="G351" s="35"/>
      <c r="H351" s="35"/>
      <c r="I351" s="35"/>
      <c r="J351" s="35"/>
      <c r="K351" s="35"/>
      <c r="L351" s="35"/>
      <c r="M351" s="35"/>
      <c r="N351" s="35"/>
    </row>
    <row r="352" spans="4:14" x14ac:dyDescent="0.2">
      <c r="D352" s="35"/>
      <c r="E352" s="35"/>
      <c r="F352" s="35"/>
      <c r="G352" s="35"/>
      <c r="H352" s="35"/>
      <c r="I352" s="35"/>
      <c r="J352" s="35"/>
      <c r="K352" s="35"/>
      <c r="L352" s="35"/>
      <c r="M352" s="35"/>
      <c r="N352" s="35"/>
    </row>
    <row r="353" spans="4:14" x14ac:dyDescent="0.2">
      <c r="D353" s="35"/>
      <c r="E353" s="35"/>
      <c r="F353" s="35"/>
      <c r="G353" s="35"/>
      <c r="H353" s="35"/>
      <c r="I353" s="35"/>
      <c r="J353" s="35"/>
      <c r="K353" s="35"/>
      <c r="L353" s="35"/>
      <c r="M353" s="35"/>
      <c r="N353" s="35"/>
    </row>
    <row r="354" spans="4:14" x14ac:dyDescent="0.2">
      <c r="D354" s="35"/>
      <c r="E354" s="35"/>
      <c r="F354" s="35"/>
      <c r="G354" s="35"/>
      <c r="H354" s="35"/>
      <c r="I354" s="35"/>
      <c r="J354" s="35"/>
      <c r="K354" s="35"/>
      <c r="L354" s="35"/>
      <c r="M354" s="35"/>
      <c r="N354" s="35"/>
    </row>
    <row r="355" spans="4:14" x14ac:dyDescent="0.2">
      <c r="D355" s="35"/>
      <c r="E355" s="35"/>
      <c r="F355" s="35"/>
      <c r="G355" s="35"/>
      <c r="H355" s="35"/>
      <c r="I355" s="35"/>
      <c r="J355" s="35"/>
      <c r="K355" s="35"/>
      <c r="L355" s="35"/>
      <c r="M355" s="35"/>
      <c r="N355" s="35"/>
    </row>
    <row r="356" spans="4:14" x14ac:dyDescent="0.2">
      <c r="D356" s="35"/>
      <c r="E356" s="35"/>
      <c r="F356" s="35"/>
      <c r="G356" s="35"/>
      <c r="H356" s="35"/>
      <c r="I356" s="35"/>
      <c r="J356" s="35"/>
      <c r="K356" s="35"/>
      <c r="L356" s="35"/>
      <c r="M356" s="35"/>
      <c r="N356" s="35"/>
    </row>
    <row r="357" spans="4:14" x14ac:dyDescent="0.2">
      <c r="D357" s="35"/>
      <c r="E357" s="35"/>
      <c r="F357" s="35"/>
      <c r="G357" s="35"/>
      <c r="H357" s="35"/>
      <c r="I357" s="35"/>
      <c r="J357" s="35"/>
      <c r="K357" s="35"/>
      <c r="L357" s="35"/>
      <c r="M357" s="35"/>
      <c r="N357" s="35"/>
    </row>
    <row r="358" spans="4:14" x14ac:dyDescent="0.2">
      <c r="D358" s="35"/>
      <c r="E358" s="35"/>
      <c r="F358" s="35"/>
      <c r="G358" s="35"/>
      <c r="H358" s="35"/>
      <c r="I358" s="35"/>
      <c r="J358" s="35"/>
      <c r="K358" s="35"/>
      <c r="L358" s="35"/>
      <c r="M358" s="35"/>
      <c r="N358" s="35"/>
    </row>
    <row r="359" spans="4:14" x14ac:dyDescent="0.2">
      <c r="D359" s="35"/>
      <c r="E359" s="35"/>
      <c r="F359" s="35"/>
      <c r="G359" s="35"/>
      <c r="H359" s="35"/>
      <c r="I359" s="35"/>
      <c r="J359" s="35"/>
      <c r="K359" s="35"/>
      <c r="L359" s="35"/>
      <c r="M359" s="35"/>
      <c r="N359" s="35"/>
    </row>
    <row r="360" spans="4:14" x14ac:dyDescent="0.2">
      <c r="D360" s="35"/>
      <c r="E360" s="35"/>
      <c r="F360" s="35"/>
      <c r="G360" s="35"/>
      <c r="H360" s="35"/>
      <c r="I360" s="35"/>
      <c r="J360" s="35"/>
      <c r="K360" s="35"/>
      <c r="L360" s="35"/>
      <c r="M360" s="35"/>
      <c r="N360" s="35"/>
    </row>
    <row r="361" spans="4:14" x14ac:dyDescent="0.2">
      <c r="D361" s="35"/>
      <c r="E361" s="35"/>
      <c r="F361" s="35"/>
      <c r="G361" s="35"/>
      <c r="H361" s="35"/>
      <c r="I361" s="35"/>
      <c r="J361" s="35"/>
      <c r="K361" s="35"/>
      <c r="L361" s="35"/>
      <c r="M361" s="35"/>
      <c r="N361" s="35"/>
    </row>
    <row r="362" spans="4:14" x14ac:dyDescent="0.2">
      <c r="D362" s="35"/>
      <c r="E362" s="35"/>
      <c r="F362" s="35"/>
      <c r="G362" s="35"/>
      <c r="H362" s="35"/>
      <c r="I362" s="35"/>
      <c r="J362" s="35"/>
      <c r="K362" s="35"/>
      <c r="L362" s="35"/>
      <c r="M362" s="35"/>
      <c r="N362" s="35"/>
    </row>
    <row r="363" spans="4:14" x14ac:dyDescent="0.2">
      <c r="D363" s="35"/>
      <c r="E363" s="35"/>
      <c r="F363" s="35"/>
      <c r="G363" s="35"/>
      <c r="H363" s="35"/>
      <c r="I363" s="35"/>
      <c r="J363" s="35"/>
      <c r="K363" s="35"/>
      <c r="L363" s="35"/>
      <c r="M363" s="35"/>
      <c r="N363" s="35"/>
    </row>
    <row r="364" spans="4:14" x14ac:dyDescent="0.2">
      <c r="D364" s="35"/>
      <c r="E364" s="35"/>
      <c r="F364" s="35"/>
      <c r="G364" s="35"/>
      <c r="H364" s="35"/>
      <c r="I364" s="35"/>
      <c r="J364" s="35"/>
      <c r="K364" s="35"/>
      <c r="L364" s="35"/>
      <c r="M364" s="35"/>
      <c r="N364" s="35"/>
    </row>
    <row r="365" spans="4:14" x14ac:dyDescent="0.2">
      <c r="D365" s="35"/>
      <c r="E365" s="35"/>
      <c r="F365" s="35"/>
      <c r="G365" s="35"/>
      <c r="H365" s="35"/>
      <c r="I365" s="35"/>
      <c r="J365" s="35"/>
      <c r="K365" s="35"/>
      <c r="L365" s="35"/>
      <c r="M365" s="35"/>
      <c r="N365" s="35"/>
    </row>
    <row r="366" spans="4:14" x14ac:dyDescent="0.2">
      <c r="D366" s="35"/>
      <c r="E366" s="35"/>
      <c r="F366" s="35"/>
      <c r="G366" s="35"/>
      <c r="H366" s="35"/>
      <c r="I366" s="35"/>
      <c r="J366" s="35"/>
      <c r="K366" s="35"/>
      <c r="L366" s="35"/>
      <c r="M366" s="35"/>
      <c r="N366" s="35"/>
    </row>
    <row r="367" spans="4:14" x14ac:dyDescent="0.2">
      <c r="D367" s="35"/>
      <c r="E367" s="35"/>
      <c r="F367" s="35"/>
      <c r="G367" s="35"/>
      <c r="H367" s="35"/>
      <c r="I367" s="35"/>
      <c r="J367" s="35"/>
      <c r="K367" s="35"/>
      <c r="L367" s="35"/>
      <c r="M367" s="35"/>
      <c r="N367" s="35"/>
    </row>
    <row r="368" spans="4:14" x14ac:dyDescent="0.2">
      <c r="D368" s="35"/>
      <c r="E368" s="35"/>
      <c r="F368" s="35"/>
      <c r="G368" s="35"/>
      <c r="H368" s="35"/>
      <c r="I368" s="35"/>
      <c r="J368" s="35"/>
      <c r="K368" s="35"/>
      <c r="L368" s="35"/>
      <c r="M368" s="35"/>
      <c r="N368" s="35"/>
    </row>
    <row r="369" spans="4:14" x14ac:dyDescent="0.2">
      <c r="D369" s="35"/>
      <c r="E369" s="35"/>
      <c r="F369" s="35"/>
      <c r="G369" s="35"/>
      <c r="H369" s="35"/>
      <c r="I369" s="35"/>
      <c r="J369" s="35"/>
      <c r="K369" s="35"/>
      <c r="L369" s="35"/>
      <c r="M369" s="35"/>
      <c r="N369" s="35"/>
    </row>
    <row r="370" spans="4:14" x14ac:dyDescent="0.2">
      <c r="D370" s="35"/>
      <c r="E370" s="35"/>
      <c r="F370" s="35"/>
      <c r="G370" s="35"/>
      <c r="H370" s="35"/>
      <c r="I370" s="35"/>
      <c r="J370" s="35"/>
      <c r="K370" s="35"/>
      <c r="L370" s="35"/>
      <c r="M370" s="35"/>
      <c r="N370" s="35"/>
    </row>
    <row r="371" spans="4:14" x14ac:dyDescent="0.2">
      <c r="D371" s="35"/>
      <c r="E371" s="35"/>
      <c r="F371" s="35"/>
      <c r="G371" s="35"/>
      <c r="H371" s="35"/>
      <c r="I371" s="35"/>
      <c r="J371" s="35"/>
      <c r="K371" s="35"/>
      <c r="L371" s="35"/>
      <c r="M371" s="35"/>
      <c r="N371" s="35"/>
    </row>
    <row r="372" spans="4:14" x14ac:dyDescent="0.2">
      <c r="D372" s="35"/>
      <c r="E372" s="35"/>
      <c r="F372" s="35"/>
      <c r="G372" s="35"/>
      <c r="H372" s="35"/>
      <c r="I372" s="35"/>
      <c r="J372" s="35"/>
      <c r="K372" s="35"/>
      <c r="L372" s="35"/>
      <c r="M372" s="35"/>
      <c r="N372" s="35"/>
    </row>
    <row r="373" spans="4:14" x14ac:dyDescent="0.2">
      <c r="D373" s="35"/>
      <c r="E373" s="35"/>
      <c r="F373" s="35"/>
      <c r="G373" s="35"/>
      <c r="H373" s="35"/>
      <c r="I373" s="35"/>
      <c r="J373" s="35"/>
      <c r="K373" s="35"/>
      <c r="L373" s="35"/>
      <c r="M373" s="35"/>
      <c r="N373" s="35"/>
    </row>
    <row r="374" spans="4:14" x14ac:dyDescent="0.2">
      <c r="D374" s="35"/>
      <c r="E374" s="35"/>
      <c r="F374" s="35"/>
      <c r="G374" s="35"/>
      <c r="H374" s="35"/>
      <c r="I374" s="35"/>
      <c r="J374" s="35"/>
      <c r="K374" s="35"/>
      <c r="L374" s="35"/>
      <c r="M374" s="35"/>
      <c r="N374" s="35"/>
    </row>
    <row r="375" spans="4:14" x14ac:dyDescent="0.2">
      <c r="D375" s="35"/>
      <c r="E375" s="35"/>
      <c r="F375" s="35"/>
      <c r="G375" s="35"/>
      <c r="H375" s="35"/>
      <c r="I375" s="35"/>
      <c r="J375" s="35"/>
      <c r="K375" s="35"/>
      <c r="L375" s="35"/>
      <c r="M375" s="35"/>
      <c r="N375" s="35"/>
    </row>
    <row r="376" spans="4:14" x14ac:dyDescent="0.2">
      <c r="D376" s="35"/>
      <c r="E376" s="35"/>
      <c r="F376" s="35"/>
      <c r="G376" s="35"/>
      <c r="H376" s="35"/>
      <c r="I376" s="35"/>
      <c r="J376" s="35"/>
      <c r="K376" s="35"/>
      <c r="L376" s="35"/>
      <c r="M376" s="35"/>
      <c r="N376" s="35"/>
    </row>
    <row r="377" spans="4:14" x14ac:dyDescent="0.2">
      <c r="D377" s="35"/>
      <c r="E377" s="35"/>
      <c r="F377" s="35"/>
      <c r="G377" s="35"/>
      <c r="H377" s="35"/>
      <c r="I377" s="35"/>
      <c r="J377" s="35"/>
      <c r="K377" s="35"/>
      <c r="L377" s="35"/>
      <c r="M377" s="35"/>
      <c r="N377" s="35"/>
    </row>
    <row r="378" spans="4:14" x14ac:dyDescent="0.2">
      <c r="D378" s="35"/>
      <c r="E378" s="35"/>
      <c r="F378" s="35"/>
      <c r="G378" s="35"/>
      <c r="H378" s="35"/>
      <c r="I378" s="35"/>
      <c r="J378" s="35"/>
      <c r="K378" s="35"/>
      <c r="L378" s="35"/>
      <c r="M378" s="35"/>
      <c r="N378" s="35"/>
    </row>
    <row r="379" spans="4:14" x14ac:dyDescent="0.2">
      <c r="D379" s="35"/>
      <c r="E379" s="35"/>
      <c r="F379" s="35"/>
      <c r="G379" s="35"/>
      <c r="H379" s="35"/>
      <c r="I379" s="35"/>
      <c r="J379" s="35"/>
      <c r="K379" s="35"/>
      <c r="L379" s="35"/>
      <c r="M379" s="35"/>
      <c r="N379" s="35"/>
    </row>
    <row r="380" spans="4:14" x14ac:dyDescent="0.2">
      <c r="D380" s="35"/>
      <c r="E380" s="35"/>
      <c r="F380" s="35"/>
      <c r="G380" s="35"/>
      <c r="H380" s="35"/>
      <c r="I380" s="35"/>
      <c r="J380" s="35"/>
      <c r="K380" s="35"/>
      <c r="L380" s="35"/>
      <c r="M380" s="35"/>
      <c r="N380" s="35"/>
    </row>
    <row r="381" spans="4:14" x14ac:dyDescent="0.2">
      <c r="D381" s="35"/>
      <c r="E381" s="35"/>
      <c r="F381" s="35"/>
      <c r="G381" s="35"/>
      <c r="H381" s="35"/>
      <c r="I381" s="35"/>
      <c r="J381" s="35"/>
      <c r="K381" s="35"/>
      <c r="L381" s="35"/>
      <c r="M381" s="35"/>
      <c r="N381" s="35"/>
    </row>
    <row r="382" spans="4:14" x14ac:dyDescent="0.2">
      <c r="D382" s="35"/>
      <c r="E382" s="35"/>
      <c r="F382" s="35"/>
      <c r="G382" s="35"/>
      <c r="H382" s="35"/>
      <c r="I382" s="35"/>
      <c r="J382" s="35"/>
      <c r="K382" s="35"/>
      <c r="L382" s="35"/>
      <c r="M382" s="35"/>
      <c r="N382" s="35"/>
    </row>
    <row r="383" spans="4:14" x14ac:dyDescent="0.2">
      <c r="D383" s="35"/>
      <c r="E383" s="35"/>
      <c r="F383" s="35"/>
      <c r="G383" s="35"/>
      <c r="H383" s="35"/>
      <c r="I383" s="35"/>
      <c r="J383" s="35"/>
      <c r="K383" s="35"/>
      <c r="L383" s="35"/>
      <c r="M383" s="35"/>
      <c r="N383" s="35"/>
    </row>
    <row r="384" spans="4:14" x14ac:dyDescent="0.2">
      <c r="D384" s="35"/>
      <c r="E384" s="35"/>
      <c r="F384" s="35"/>
      <c r="G384" s="35"/>
      <c r="H384" s="35"/>
      <c r="I384" s="35"/>
      <c r="J384" s="35"/>
      <c r="K384" s="35"/>
      <c r="L384" s="35"/>
      <c r="M384" s="35"/>
      <c r="N384" s="35"/>
    </row>
    <row r="385" spans="4:14" x14ac:dyDescent="0.2">
      <c r="D385" s="35"/>
      <c r="E385" s="35"/>
      <c r="F385" s="35"/>
      <c r="G385" s="35"/>
      <c r="H385" s="35"/>
      <c r="I385" s="35"/>
      <c r="J385" s="35"/>
      <c r="K385" s="35"/>
      <c r="L385" s="35"/>
      <c r="M385" s="35"/>
      <c r="N385" s="35"/>
    </row>
    <row r="386" spans="4:14" x14ac:dyDescent="0.2">
      <c r="D386" s="35"/>
      <c r="E386" s="35"/>
      <c r="F386" s="35"/>
      <c r="G386" s="35"/>
      <c r="H386" s="35"/>
      <c r="I386" s="35"/>
      <c r="J386" s="35"/>
      <c r="K386" s="35"/>
      <c r="L386" s="35"/>
      <c r="M386" s="35"/>
      <c r="N386" s="35"/>
    </row>
    <row r="387" spans="4:14" x14ac:dyDescent="0.2">
      <c r="D387" s="35"/>
      <c r="E387" s="35"/>
      <c r="F387" s="35"/>
      <c r="G387" s="35"/>
      <c r="H387" s="35"/>
      <c r="I387" s="35"/>
      <c r="J387" s="35"/>
      <c r="K387" s="35"/>
      <c r="L387" s="35"/>
      <c r="M387" s="35"/>
      <c r="N387" s="35"/>
    </row>
    <row r="388" spans="4:14" x14ac:dyDescent="0.2">
      <c r="D388" s="35"/>
      <c r="E388" s="35"/>
      <c r="F388" s="35"/>
      <c r="G388" s="35"/>
      <c r="H388" s="35"/>
      <c r="I388" s="35"/>
      <c r="J388" s="35"/>
      <c r="K388" s="35"/>
      <c r="L388" s="35"/>
      <c r="M388" s="35"/>
      <c r="N388" s="35"/>
    </row>
    <row r="389" spans="4:14" x14ac:dyDescent="0.2">
      <c r="D389" s="35"/>
      <c r="E389" s="35"/>
      <c r="F389" s="35"/>
      <c r="G389" s="35"/>
      <c r="H389" s="35"/>
      <c r="I389" s="35"/>
      <c r="J389" s="35"/>
      <c r="K389" s="35"/>
      <c r="L389" s="35"/>
      <c r="M389" s="35"/>
      <c r="N389" s="35"/>
    </row>
    <row r="390" spans="4:14" x14ac:dyDescent="0.2">
      <c r="D390" s="35"/>
      <c r="E390" s="35"/>
      <c r="F390" s="35"/>
      <c r="G390" s="35"/>
      <c r="H390" s="35"/>
      <c r="I390" s="35"/>
      <c r="J390" s="35"/>
      <c r="K390" s="35"/>
      <c r="L390" s="35"/>
      <c r="M390" s="35"/>
      <c r="N390" s="35"/>
    </row>
    <row r="391" spans="4:14" x14ac:dyDescent="0.2">
      <c r="D391" s="35"/>
      <c r="E391" s="35"/>
      <c r="F391" s="35"/>
      <c r="G391" s="35"/>
      <c r="H391" s="35"/>
      <c r="I391" s="35"/>
      <c r="J391" s="35"/>
      <c r="K391" s="35"/>
      <c r="L391" s="35"/>
      <c r="M391" s="35"/>
      <c r="N391" s="35"/>
    </row>
    <row r="392" spans="4:14" x14ac:dyDescent="0.2">
      <c r="D392" s="35"/>
      <c r="E392" s="35"/>
      <c r="F392" s="35"/>
      <c r="G392" s="35"/>
      <c r="H392" s="35"/>
      <c r="I392" s="35"/>
      <c r="J392" s="35"/>
      <c r="K392" s="35"/>
      <c r="L392" s="35"/>
      <c r="M392" s="35"/>
      <c r="N392" s="35"/>
    </row>
    <row r="393" spans="4:14" x14ac:dyDescent="0.2">
      <c r="D393" s="35"/>
      <c r="E393" s="35"/>
      <c r="F393" s="35"/>
      <c r="G393" s="35"/>
      <c r="H393" s="35"/>
      <c r="I393" s="35"/>
      <c r="J393" s="35"/>
      <c r="K393" s="35"/>
      <c r="L393" s="35"/>
      <c r="M393" s="35"/>
      <c r="N393" s="35"/>
    </row>
    <row r="394" spans="4:14" x14ac:dyDescent="0.2">
      <c r="D394" s="35"/>
      <c r="E394" s="35"/>
      <c r="F394" s="35"/>
      <c r="G394" s="35"/>
      <c r="H394" s="35"/>
      <c r="I394" s="35"/>
      <c r="J394" s="35"/>
      <c r="K394" s="35"/>
      <c r="L394" s="35"/>
      <c r="M394" s="35"/>
      <c r="N394" s="35"/>
    </row>
    <row r="395" spans="4:14" x14ac:dyDescent="0.2">
      <c r="D395" s="35"/>
      <c r="E395" s="35"/>
      <c r="F395" s="35"/>
      <c r="G395" s="35"/>
      <c r="H395" s="35"/>
      <c r="I395" s="35"/>
      <c r="J395" s="35"/>
      <c r="K395" s="35"/>
      <c r="L395" s="35"/>
      <c r="M395" s="35"/>
      <c r="N395" s="35"/>
    </row>
    <row r="396" spans="4:14" x14ac:dyDescent="0.2">
      <c r="D396" s="35"/>
      <c r="E396" s="35"/>
      <c r="F396" s="35"/>
      <c r="G396" s="35"/>
      <c r="H396" s="35"/>
      <c r="I396" s="35"/>
      <c r="J396" s="35"/>
      <c r="K396" s="35"/>
      <c r="L396" s="35"/>
      <c r="M396" s="35"/>
      <c r="N396" s="35"/>
    </row>
    <row r="397" spans="4:14" x14ac:dyDescent="0.2">
      <c r="D397" s="35"/>
      <c r="E397" s="35"/>
      <c r="F397" s="35"/>
      <c r="G397" s="35"/>
      <c r="H397" s="35"/>
      <c r="I397" s="35"/>
      <c r="J397" s="35"/>
      <c r="K397" s="35"/>
      <c r="L397" s="35"/>
      <c r="M397" s="35"/>
      <c r="N397" s="35"/>
    </row>
    <row r="398" spans="4:14" x14ac:dyDescent="0.2">
      <c r="D398" s="35"/>
      <c r="E398" s="35"/>
      <c r="F398" s="35"/>
      <c r="G398" s="35"/>
      <c r="H398" s="35"/>
      <c r="I398" s="35"/>
      <c r="J398" s="35"/>
      <c r="K398" s="35"/>
      <c r="L398" s="35"/>
      <c r="M398" s="35"/>
      <c r="N398" s="35"/>
    </row>
    <row r="399" spans="4:14" x14ac:dyDescent="0.2">
      <c r="D399" s="35"/>
      <c r="E399" s="35"/>
      <c r="F399" s="35"/>
      <c r="G399" s="35"/>
      <c r="H399" s="35"/>
      <c r="I399" s="35"/>
      <c r="J399" s="35"/>
      <c r="K399" s="35"/>
      <c r="L399" s="35"/>
      <c r="M399" s="35"/>
      <c r="N399" s="35"/>
    </row>
    <row r="400" spans="4:14" x14ac:dyDescent="0.2">
      <c r="D400" s="35"/>
      <c r="E400" s="35"/>
      <c r="F400" s="35"/>
      <c r="G400" s="35"/>
      <c r="H400" s="35"/>
      <c r="I400" s="35"/>
      <c r="J400" s="35"/>
      <c r="K400" s="35"/>
      <c r="L400" s="35"/>
      <c r="M400" s="35"/>
      <c r="N400" s="35"/>
    </row>
    <row r="401" spans="4:14" x14ac:dyDescent="0.2">
      <c r="D401" s="35"/>
      <c r="E401" s="35"/>
      <c r="F401" s="35"/>
      <c r="G401" s="35"/>
      <c r="H401" s="35"/>
      <c r="I401" s="35"/>
      <c r="J401" s="35"/>
      <c r="K401" s="35"/>
      <c r="L401" s="35"/>
      <c r="M401" s="35"/>
      <c r="N401" s="35"/>
    </row>
    <row r="402" spans="4:14" x14ac:dyDescent="0.2">
      <c r="D402" s="35"/>
      <c r="E402" s="35"/>
      <c r="F402" s="35"/>
      <c r="G402" s="35"/>
      <c r="H402" s="35"/>
      <c r="I402" s="35"/>
      <c r="J402" s="35"/>
      <c r="K402" s="35"/>
      <c r="L402" s="35"/>
      <c r="M402" s="35"/>
      <c r="N402" s="35"/>
    </row>
    <row r="403" spans="4:14" x14ac:dyDescent="0.2">
      <c r="D403" s="35"/>
      <c r="E403" s="35"/>
      <c r="F403" s="35"/>
      <c r="G403" s="35"/>
      <c r="H403" s="35"/>
      <c r="I403" s="35"/>
      <c r="J403" s="35"/>
      <c r="K403" s="35"/>
      <c r="L403" s="35"/>
      <c r="M403" s="35"/>
      <c r="N403" s="35"/>
    </row>
    <row r="404" spans="4:14" x14ac:dyDescent="0.2">
      <c r="D404" s="35"/>
      <c r="E404" s="35"/>
      <c r="F404" s="35"/>
      <c r="G404" s="35"/>
      <c r="H404" s="35"/>
      <c r="I404" s="35"/>
      <c r="J404" s="35"/>
      <c r="K404" s="35"/>
      <c r="L404" s="35"/>
      <c r="M404" s="35"/>
      <c r="N404" s="35"/>
    </row>
    <row r="405" spans="4:14" x14ac:dyDescent="0.2">
      <c r="D405" s="35"/>
      <c r="E405" s="35"/>
      <c r="F405" s="35"/>
      <c r="G405" s="35"/>
      <c r="H405" s="35"/>
      <c r="I405" s="35"/>
      <c r="J405" s="35"/>
      <c r="K405" s="35"/>
      <c r="L405" s="35"/>
      <c r="M405" s="35"/>
      <c r="N405" s="35"/>
    </row>
    <row r="406" spans="4:14" x14ac:dyDescent="0.2">
      <c r="D406" s="35"/>
      <c r="E406" s="35"/>
      <c r="F406" s="35"/>
      <c r="G406" s="35"/>
      <c r="H406" s="35"/>
      <c r="I406" s="35"/>
      <c r="J406" s="35"/>
      <c r="K406" s="35"/>
      <c r="L406" s="35"/>
      <c r="M406" s="35"/>
      <c r="N406" s="35"/>
    </row>
    <row r="407" spans="4:14" x14ac:dyDescent="0.2">
      <c r="D407" s="35"/>
      <c r="E407" s="35"/>
      <c r="F407" s="35"/>
      <c r="G407" s="35"/>
      <c r="H407" s="35"/>
      <c r="I407" s="35"/>
      <c r="J407" s="35"/>
      <c r="K407" s="35"/>
      <c r="L407" s="35"/>
      <c r="M407" s="35"/>
      <c r="N407" s="35"/>
    </row>
    <row r="408" spans="4:14" x14ac:dyDescent="0.2">
      <c r="D408" s="35"/>
      <c r="E408" s="35"/>
      <c r="F408" s="35"/>
      <c r="G408" s="35"/>
      <c r="H408" s="35"/>
      <c r="I408" s="35"/>
      <c r="J408" s="35"/>
      <c r="K408" s="35"/>
      <c r="L408" s="35"/>
      <c r="M408" s="35"/>
      <c r="N408" s="35"/>
    </row>
    <row r="409" spans="4:14" x14ac:dyDescent="0.2">
      <c r="D409" s="35"/>
      <c r="E409" s="35"/>
      <c r="F409" s="35"/>
      <c r="G409" s="35"/>
      <c r="H409" s="35"/>
      <c r="I409" s="35"/>
      <c r="J409" s="35"/>
      <c r="K409" s="35"/>
      <c r="L409" s="35"/>
      <c r="M409" s="35"/>
      <c r="N409" s="35"/>
    </row>
    <row r="410" spans="4:14" x14ac:dyDescent="0.2">
      <c r="D410" s="35"/>
      <c r="E410" s="35"/>
      <c r="F410" s="35"/>
      <c r="G410" s="35"/>
      <c r="H410" s="35"/>
      <c r="I410" s="35"/>
      <c r="J410" s="35"/>
      <c r="K410" s="35"/>
      <c r="L410" s="35"/>
      <c r="M410" s="35"/>
      <c r="N410" s="35"/>
    </row>
    <row r="411" spans="4:14" x14ac:dyDescent="0.2">
      <c r="D411" s="35"/>
      <c r="E411" s="35"/>
      <c r="F411" s="35"/>
      <c r="G411" s="35"/>
      <c r="H411" s="35"/>
      <c r="I411" s="35"/>
      <c r="J411" s="35"/>
      <c r="K411" s="35"/>
      <c r="L411" s="35"/>
      <c r="M411" s="35"/>
      <c r="N411" s="35"/>
    </row>
    <row r="412" spans="4:14" x14ac:dyDescent="0.2">
      <c r="D412" s="35"/>
      <c r="E412" s="35"/>
      <c r="F412" s="35"/>
      <c r="G412" s="35"/>
      <c r="H412" s="35"/>
      <c r="I412" s="35"/>
      <c r="J412" s="35"/>
      <c r="K412" s="35"/>
      <c r="L412" s="35"/>
      <c r="M412" s="35"/>
      <c r="N412" s="35"/>
    </row>
    <row r="413" spans="4:14" x14ac:dyDescent="0.2">
      <c r="D413" s="35"/>
      <c r="E413" s="35"/>
      <c r="F413" s="35"/>
      <c r="G413" s="35"/>
      <c r="H413" s="35"/>
      <c r="I413" s="35"/>
      <c r="J413" s="35"/>
      <c r="K413" s="35"/>
      <c r="L413" s="35"/>
      <c r="M413" s="35"/>
      <c r="N413" s="35"/>
    </row>
    <row r="414" spans="4:14" x14ac:dyDescent="0.2">
      <c r="D414" s="35"/>
      <c r="E414" s="35"/>
      <c r="F414" s="35"/>
      <c r="G414" s="35"/>
      <c r="H414" s="35"/>
      <c r="I414" s="35"/>
      <c r="J414" s="35"/>
      <c r="K414" s="35"/>
      <c r="L414" s="35"/>
      <c r="M414" s="35"/>
      <c r="N414" s="35"/>
    </row>
    <row r="415" spans="4:14" x14ac:dyDescent="0.2">
      <c r="D415" s="35"/>
      <c r="E415" s="35"/>
      <c r="F415" s="35"/>
      <c r="G415" s="35"/>
      <c r="H415" s="35"/>
      <c r="I415" s="35"/>
      <c r="J415" s="35"/>
      <c r="K415" s="35"/>
      <c r="L415" s="35"/>
      <c r="M415" s="35"/>
      <c r="N415" s="35"/>
    </row>
    <row r="416" spans="4:14" x14ac:dyDescent="0.2">
      <c r="D416" s="35"/>
      <c r="E416" s="35"/>
      <c r="F416" s="35"/>
      <c r="G416" s="35"/>
      <c r="H416" s="35"/>
      <c r="I416" s="35"/>
      <c r="J416" s="35"/>
      <c r="K416" s="35"/>
      <c r="L416" s="35"/>
      <c r="M416" s="35"/>
      <c r="N416" s="35"/>
    </row>
    <row r="417" spans="4:14" x14ac:dyDescent="0.2">
      <c r="D417" s="35"/>
      <c r="E417" s="35"/>
      <c r="F417" s="35"/>
      <c r="G417" s="35"/>
      <c r="H417" s="35"/>
      <c r="I417" s="35"/>
      <c r="J417" s="35"/>
      <c r="K417" s="35"/>
      <c r="L417" s="35"/>
      <c r="M417" s="35"/>
      <c r="N417" s="35"/>
    </row>
    <row r="418" spans="4:14" x14ac:dyDescent="0.2">
      <c r="D418" s="35"/>
      <c r="E418" s="35"/>
      <c r="F418" s="35"/>
      <c r="G418" s="35"/>
      <c r="H418" s="35"/>
      <c r="I418" s="35"/>
      <c r="J418" s="35"/>
      <c r="K418" s="35"/>
      <c r="L418" s="35"/>
      <c r="M418" s="35"/>
      <c r="N418" s="35"/>
    </row>
    <row r="419" spans="4:14" x14ac:dyDescent="0.2">
      <c r="D419" s="35"/>
      <c r="E419" s="35"/>
      <c r="F419" s="35"/>
      <c r="G419" s="35"/>
      <c r="H419" s="35"/>
      <c r="I419" s="35"/>
      <c r="J419" s="35"/>
      <c r="K419" s="35"/>
      <c r="L419" s="35"/>
      <c r="M419" s="35"/>
      <c r="N419" s="35"/>
    </row>
    <row r="420" spans="4:14" x14ac:dyDescent="0.2">
      <c r="D420" s="35"/>
      <c r="E420" s="35"/>
      <c r="F420" s="35"/>
      <c r="G420" s="35"/>
      <c r="H420" s="35"/>
      <c r="I420" s="35"/>
      <c r="J420" s="35"/>
      <c r="K420" s="35"/>
      <c r="L420" s="35"/>
      <c r="M420" s="35"/>
      <c r="N420" s="35"/>
    </row>
    <row r="421" spans="4:14" x14ac:dyDescent="0.2">
      <c r="D421" s="35"/>
      <c r="E421" s="35"/>
      <c r="F421" s="35"/>
      <c r="G421" s="35"/>
      <c r="H421" s="35"/>
      <c r="I421" s="35"/>
      <c r="J421" s="35"/>
      <c r="K421" s="35"/>
      <c r="L421" s="35"/>
      <c r="M421" s="35"/>
      <c r="N421" s="35"/>
    </row>
    <row r="422" spans="4:14" x14ac:dyDescent="0.2">
      <c r="D422" s="35"/>
      <c r="E422" s="35"/>
      <c r="F422" s="35"/>
      <c r="G422" s="35"/>
      <c r="H422" s="35"/>
      <c r="I422" s="35"/>
      <c r="J422" s="35"/>
      <c r="K422" s="35"/>
      <c r="L422" s="35"/>
      <c r="M422" s="35"/>
      <c r="N422" s="35"/>
    </row>
    <row r="423" spans="4:14" x14ac:dyDescent="0.2">
      <c r="D423" s="35"/>
      <c r="E423" s="35"/>
      <c r="F423" s="35"/>
      <c r="G423" s="35"/>
      <c r="H423" s="35"/>
      <c r="I423" s="35"/>
      <c r="J423" s="35"/>
      <c r="K423" s="35"/>
      <c r="L423" s="35"/>
      <c r="M423" s="35"/>
      <c r="N423" s="35"/>
    </row>
    <row r="424" spans="4:14" x14ac:dyDescent="0.2">
      <c r="D424" s="35"/>
      <c r="E424" s="35"/>
      <c r="F424" s="35"/>
      <c r="G424" s="35"/>
      <c r="H424" s="35"/>
      <c r="I424" s="35"/>
      <c r="J424" s="35"/>
      <c r="K424" s="35"/>
      <c r="L424" s="35"/>
      <c r="M424" s="35"/>
      <c r="N424" s="35"/>
    </row>
    <row r="425" spans="4:14" x14ac:dyDescent="0.2">
      <c r="D425" s="35"/>
      <c r="E425" s="35"/>
      <c r="F425" s="35"/>
      <c r="G425" s="35"/>
      <c r="H425" s="35"/>
      <c r="I425" s="35"/>
      <c r="J425" s="35"/>
      <c r="K425" s="35"/>
      <c r="L425" s="35"/>
      <c r="M425" s="35"/>
      <c r="N425" s="35"/>
    </row>
    <row r="426" spans="4:14" x14ac:dyDescent="0.2">
      <c r="D426" s="35"/>
      <c r="E426" s="35"/>
      <c r="F426" s="35"/>
      <c r="G426" s="35"/>
      <c r="H426" s="35"/>
      <c r="I426" s="35"/>
      <c r="J426" s="35"/>
      <c r="K426" s="35"/>
      <c r="L426" s="35"/>
      <c r="M426" s="35"/>
      <c r="N426" s="35"/>
    </row>
    <row r="427" spans="4:14" x14ac:dyDescent="0.2">
      <c r="D427" s="35"/>
      <c r="E427" s="35"/>
      <c r="F427" s="35"/>
      <c r="G427" s="35"/>
      <c r="H427" s="35"/>
      <c r="I427" s="35"/>
      <c r="J427" s="35"/>
      <c r="K427" s="35"/>
      <c r="L427" s="35"/>
      <c r="M427" s="35"/>
      <c r="N427" s="35"/>
    </row>
    <row r="428" spans="4:14" x14ac:dyDescent="0.2">
      <c r="D428" s="35"/>
      <c r="E428" s="35"/>
      <c r="F428" s="35"/>
      <c r="G428" s="35"/>
      <c r="H428" s="35"/>
      <c r="I428" s="35"/>
      <c r="J428" s="35"/>
      <c r="K428" s="35"/>
      <c r="L428" s="35"/>
      <c r="M428" s="35"/>
      <c r="N428" s="35"/>
    </row>
    <row r="429" spans="4:14" x14ac:dyDescent="0.2">
      <c r="D429" s="35"/>
      <c r="E429" s="35"/>
      <c r="F429" s="35"/>
      <c r="G429" s="35"/>
      <c r="H429" s="35"/>
      <c r="I429" s="35"/>
      <c r="J429" s="35"/>
      <c r="K429" s="35"/>
      <c r="L429" s="35"/>
      <c r="M429" s="35"/>
      <c r="N429" s="35"/>
    </row>
    <row r="430" spans="4:14" x14ac:dyDescent="0.2">
      <c r="D430" s="35"/>
      <c r="E430" s="35"/>
      <c r="F430" s="35"/>
      <c r="G430" s="35"/>
      <c r="H430" s="35"/>
      <c r="I430" s="35"/>
      <c r="J430" s="35"/>
      <c r="K430" s="35"/>
      <c r="L430" s="35"/>
      <c r="M430" s="35"/>
      <c r="N430" s="35"/>
    </row>
    <row r="431" spans="4:14" x14ac:dyDescent="0.2">
      <c r="D431" s="35"/>
      <c r="E431" s="35"/>
      <c r="F431" s="35"/>
      <c r="G431" s="35"/>
      <c r="H431" s="35"/>
      <c r="I431" s="35"/>
      <c r="J431" s="35"/>
      <c r="K431" s="35"/>
      <c r="L431" s="35"/>
      <c r="M431" s="35"/>
      <c r="N431" s="35"/>
    </row>
    <row r="432" spans="4:14" x14ac:dyDescent="0.2">
      <c r="D432" s="35"/>
      <c r="E432" s="35"/>
      <c r="F432" s="35"/>
      <c r="G432" s="35"/>
      <c r="H432" s="35"/>
      <c r="I432" s="35"/>
      <c r="J432" s="35"/>
      <c r="K432" s="35"/>
      <c r="L432" s="35"/>
      <c r="M432" s="35"/>
      <c r="N432" s="35"/>
    </row>
    <row r="433" spans="4:14" x14ac:dyDescent="0.2">
      <c r="D433" s="35"/>
      <c r="E433" s="35"/>
      <c r="F433" s="35"/>
      <c r="G433" s="35"/>
      <c r="H433" s="35"/>
      <c r="I433" s="35"/>
      <c r="J433" s="35"/>
      <c r="K433" s="35"/>
      <c r="L433" s="35"/>
      <c r="M433" s="35"/>
      <c r="N433" s="35"/>
    </row>
    <row r="434" spans="4:14" x14ac:dyDescent="0.2">
      <c r="D434" s="35"/>
      <c r="E434" s="35"/>
      <c r="F434" s="35"/>
      <c r="G434" s="35"/>
      <c r="H434" s="35"/>
      <c r="I434" s="35"/>
      <c r="J434" s="35"/>
      <c r="K434" s="35"/>
      <c r="L434" s="35"/>
      <c r="M434" s="35"/>
      <c r="N434" s="35"/>
    </row>
    <row r="435" spans="4:14" x14ac:dyDescent="0.2">
      <c r="D435" s="35"/>
      <c r="E435" s="35"/>
      <c r="F435" s="35"/>
      <c r="G435" s="35"/>
      <c r="H435" s="35"/>
      <c r="I435" s="35"/>
      <c r="J435" s="35"/>
      <c r="K435" s="35"/>
      <c r="L435" s="35"/>
      <c r="M435" s="35"/>
      <c r="N435" s="35"/>
    </row>
    <row r="436" spans="4:14" x14ac:dyDescent="0.2">
      <c r="D436" s="35"/>
      <c r="E436" s="35"/>
      <c r="F436" s="35"/>
      <c r="G436" s="35"/>
      <c r="H436" s="35"/>
      <c r="I436" s="35"/>
      <c r="J436" s="35"/>
      <c r="K436" s="35"/>
      <c r="L436" s="35"/>
      <c r="M436" s="35"/>
      <c r="N436" s="35"/>
    </row>
    <row r="437" spans="4:14" x14ac:dyDescent="0.2">
      <c r="D437" s="35"/>
      <c r="E437" s="35"/>
      <c r="F437" s="35"/>
      <c r="G437" s="35"/>
      <c r="H437" s="35"/>
      <c r="I437" s="35"/>
      <c r="J437" s="35"/>
      <c r="K437" s="35"/>
      <c r="L437" s="35"/>
      <c r="M437" s="35"/>
      <c r="N437" s="35"/>
    </row>
    <row r="438" spans="4:14" x14ac:dyDescent="0.2">
      <c r="D438" s="35"/>
      <c r="E438" s="35"/>
      <c r="F438" s="35"/>
      <c r="G438" s="35"/>
      <c r="H438" s="35"/>
      <c r="I438" s="35"/>
      <c r="J438" s="35"/>
      <c r="K438" s="35"/>
      <c r="L438" s="35"/>
      <c r="M438" s="35"/>
      <c r="N438" s="35"/>
    </row>
    <row r="439" spans="4:14" x14ac:dyDescent="0.2">
      <c r="D439" s="35"/>
      <c r="E439" s="35"/>
      <c r="F439" s="35"/>
      <c r="G439" s="35"/>
      <c r="H439" s="35"/>
      <c r="I439" s="35"/>
      <c r="J439" s="35"/>
      <c r="K439" s="35"/>
      <c r="L439" s="35"/>
      <c r="M439" s="35"/>
      <c r="N439" s="35"/>
    </row>
    <row r="440" spans="4:14" x14ac:dyDescent="0.2">
      <c r="D440" s="35"/>
      <c r="E440" s="35"/>
      <c r="F440" s="35"/>
      <c r="G440" s="35"/>
      <c r="H440" s="35"/>
      <c r="I440" s="35"/>
      <c r="J440" s="35"/>
      <c r="K440" s="35"/>
      <c r="L440" s="35"/>
      <c r="M440" s="35"/>
      <c r="N440" s="35"/>
    </row>
    <row r="441" spans="4:14" x14ac:dyDescent="0.2">
      <c r="D441" s="35"/>
      <c r="E441" s="35"/>
      <c r="F441" s="35"/>
      <c r="G441" s="35"/>
      <c r="H441" s="35"/>
      <c r="I441" s="35"/>
      <c r="J441" s="35"/>
      <c r="K441" s="35"/>
      <c r="L441" s="35"/>
      <c r="M441" s="35"/>
      <c r="N441" s="35"/>
    </row>
    <row r="442" spans="4:14" x14ac:dyDescent="0.2">
      <c r="D442" s="35"/>
      <c r="E442" s="35"/>
      <c r="F442" s="35"/>
      <c r="G442" s="35"/>
      <c r="H442" s="35"/>
      <c r="I442" s="35"/>
      <c r="J442" s="35"/>
      <c r="K442" s="35"/>
      <c r="L442" s="35"/>
      <c r="M442" s="35"/>
      <c r="N442" s="35"/>
    </row>
    <row r="443" spans="4:14" x14ac:dyDescent="0.2">
      <c r="D443" s="35"/>
      <c r="E443" s="35"/>
      <c r="F443" s="35"/>
      <c r="G443" s="35"/>
      <c r="H443" s="35"/>
      <c r="I443" s="35"/>
      <c r="J443" s="35"/>
      <c r="K443" s="35"/>
      <c r="L443" s="35"/>
      <c r="M443" s="35"/>
      <c r="N443" s="35"/>
    </row>
    <row r="444" spans="4:14" x14ac:dyDescent="0.2">
      <c r="D444" s="35"/>
      <c r="E444" s="35"/>
      <c r="F444" s="35"/>
      <c r="G444" s="35"/>
      <c r="H444" s="35"/>
      <c r="I444" s="35"/>
      <c r="J444" s="35"/>
      <c r="K444" s="35"/>
      <c r="L444" s="35"/>
      <c r="M444" s="35"/>
      <c r="N444" s="35"/>
    </row>
    <row r="445" spans="4:14" x14ac:dyDescent="0.2">
      <c r="D445" s="35"/>
      <c r="E445" s="35"/>
      <c r="F445" s="35"/>
      <c r="G445" s="35"/>
      <c r="H445" s="35"/>
      <c r="I445" s="35"/>
      <c r="J445" s="35"/>
      <c r="K445" s="35"/>
      <c r="L445" s="35"/>
      <c r="M445" s="35"/>
      <c r="N445" s="35"/>
    </row>
    <row r="446" spans="4:14" x14ac:dyDescent="0.2">
      <c r="D446" s="35"/>
      <c r="E446" s="35"/>
      <c r="F446" s="35"/>
      <c r="G446" s="35"/>
      <c r="H446" s="35"/>
      <c r="I446" s="35"/>
      <c r="J446" s="35"/>
      <c r="K446" s="35"/>
      <c r="L446" s="35"/>
      <c r="M446" s="35"/>
      <c r="N446" s="35"/>
    </row>
    <row r="447" spans="4:14" x14ac:dyDescent="0.2">
      <c r="D447" s="35"/>
      <c r="E447" s="35"/>
      <c r="F447" s="35"/>
      <c r="G447" s="35"/>
      <c r="H447" s="35"/>
      <c r="I447" s="35"/>
      <c r="J447" s="35"/>
      <c r="K447" s="35"/>
      <c r="L447" s="35"/>
      <c r="M447" s="35"/>
      <c r="N447" s="35"/>
    </row>
    <row r="448" spans="4:14" x14ac:dyDescent="0.2">
      <c r="D448" s="35"/>
      <c r="E448" s="35"/>
      <c r="F448" s="35"/>
      <c r="G448" s="35"/>
      <c r="H448" s="35"/>
      <c r="I448" s="35"/>
      <c r="J448" s="35"/>
      <c r="K448" s="35"/>
      <c r="L448" s="35"/>
      <c r="M448" s="35"/>
      <c r="N448" s="35"/>
    </row>
    <row r="449" spans="4:14" x14ac:dyDescent="0.2">
      <c r="D449" s="35"/>
      <c r="E449" s="35"/>
      <c r="F449" s="35"/>
      <c r="G449" s="35"/>
      <c r="H449" s="35"/>
      <c r="I449" s="35"/>
      <c r="J449" s="35"/>
      <c r="K449" s="35"/>
      <c r="L449" s="35"/>
      <c r="M449" s="35"/>
      <c r="N449" s="35"/>
    </row>
    <row r="450" spans="4:14" x14ac:dyDescent="0.2">
      <c r="D450" s="35"/>
      <c r="E450" s="35"/>
      <c r="F450" s="35"/>
      <c r="G450" s="35"/>
      <c r="H450" s="35"/>
      <c r="I450" s="35"/>
      <c r="J450" s="35"/>
      <c r="K450" s="35"/>
      <c r="L450" s="35"/>
      <c r="M450" s="35"/>
      <c r="N450" s="35"/>
    </row>
    <row r="451" spans="4:14" x14ac:dyDescent="0.2">
      <c r="D451" s="35"/>
      <c r="E451" s="35"/>
      <c r="F451" s="35"/>
      <c r="G451" s="35"/>
      <c r="H451" s="35"/>
      <c r="I451" s="35"/>
      <c r="J451" s="35"/>
      <c r="K451" s="35"/>
      <c r="L451" s="35"/>
      <c r="M451" s="35"/>
      <c r="N451" s="35"/>
    </row>
    <row r="452" spans="4:14" x14ac:dyDescent="0.2">
      <c r="D452" s="35"/>
      <c r="E452" s="35"/>
      <c r="F452" s="35"/>
      <c r="G452" s="35"/>
      <c r="H452" s="35"/>
      <c r="I452" s="35"/>
      <c r="J452" s="35"/>
      <c r="K452" s="35"/>
      <c r="L452" s="35"/>
      <c r="M452" s="35"/>
      <c r="N452" s="35"/>
    </row>
    <row r="453" spans="4:14" x14ac:dyDescent="0.2">
      <c r="D453" s="35"/>
      <c r="E453" s="35"/>
      <c r="F453" s="35"/>
      <c r="G453" s="35"/>
      <c r="H453" s="35"/>
      <c r="I453" s="35"/>
      <c r="J453" s="35"/>
      <c r="K453" s="35"/>
      <c r="L453" s="35"/>
      <c r="M453" s="35"/>
      <c r="N453" s="35"/>
    </row>
    <row r="454" spans="4:14" x14ac:dyDescent="0.2">
      <c r="D454" s="35"/>
      <c r="E454" s="35"/>
      <c r="F454" s="35"/>
      <c r="G454" s="35"/>
      <c r="H454" s="35"/>
      <c r="I454" s="35"/>
      <c r="J454" s="35"/>
      <c r="K454" s="35"/>
      <c r="L454" s="35"/>
      <c r="M454" s="35"/>
      <c r="N454" s="35"/>
    </row>
    <row r="455" spans="4:14" x14ac:dyDescent="0.2">
      <c r="D455" s="35"/>
      <c r="E455" s="35"/>
      <c r="F455" s="35"/>
      <c r="G455" s="35"/>
      <c r="H455" s="35"/>
      <c r="I455" s="35"/>
      <c r="J455" s="35"/>
      <c r="K455" s="35"/>
      <c r="L455" s="35"/>
      <c r="M455" s="35"/>
      <c r="N455" s="35"/>
    </row>
    <row r="456" spans="4:14" x14ac:dyDescent="0.2">
      <c r="D456" s="35"/>
      <c r="E456" s="35"/>
      <c r="F456" s="35"/>
      <c r="G456" s="35"/>
      <c r="H456" s="35"/>
      <c r="I456" s="35"/>
      <c r="J456" s="35"/>
      <c r="K456" s="35"/>
      <c r="L456" s="35"/>
      <c r="M456" s="35"/>
      <c r="N456" s="35"/>
    </row>
    <row r="457" spans="4:14" x14ac:dyDescent="0.2">
      <c r="D457" s="35"/>
      <c r="E457" s="35"/>
      <c r="F457" s="35"/>
      <c r="G457" s="35"/>
      <c r="H457" s="35"/>
      <c r="I457" s="35"/>
      <c r="J457" s="35"/>
      <c r="K457" s="35"/>
      <c r="L457" s="35"/>
      <c r="M457" s="35"/>
      <c r="N457" s="35"/>
    </row>
    <row r="458" spans="4:14" x14ac:dyDescent="0.2">
      <c r="D458" s="35"/>
      <c r="E458" s="35"/>
      <c r="F458" s="35"/>
      <c r="G458" s="35"/>
      <c r="H458" s="35"/>
      <c r="I458" s="35"/>
      <c r="J458" s="35"/>
      <c r="K458" s="35"/>
      <c r="L458" s="35"/>
      <c r="M458" s="35"/>
      <c r="N458" s="35"/>
    </row>
    <row r="459" spans="4:14" x14ac:dyDescent="0.2">
      <c r="D459" s="35"/>
      <c r="E459" s="35"/>
      <c r="F459" s="35"/>
      <c r="G459" s="35"/>
      <c r="H459" s="35"/>
      <c r="I459" s="35"/>
      <c r="J459" s="35"/>
      <c r="K459" s="35"/>
      <c r="L459" s="35"/>
      <c r="M459" s="35"/>
      <c r="N459" s="35"/>
    </row>
    <row r="460" spans="4:14" x14ac:dyDescent="0.2">
      <c r="D460" s="35"/>
      <c r="E460" s="35"/>
      <c r="F460" s="35"/>
      <c r="G460" s="35"/>
      <c r="H460" s="35"/>
      <c r="I460" s="35"/>
      <c r="J460" s="35"/>
      <c r="K460" s="35"/>
      <c r="L460" s="35"/>
      <c r="M460" s="35"/>
      <c r="N460" s="35"/>
    </row>
    <row r="461" spans="4:14" x14ac:dyDescent="0.2">
      <c r="D461" s="35"/>
      <c r="E461" s="35"/>
      <c r="F461" s="35"/>
      <c r="G461" s="35"/>
      <c r="H461" s="35"/>
      <c r="I461" s="35"/>
      <c r="J461" s="35"/>
      <c r="K461" s="35"/>
      <c r="L461" s="35"/>
      <c r="M461" s="35"/>
      <c r="N461" s="35"/>
    </row>
    <row r="462" spans="4:14" x14ac:dyDescent="0.2">
      <c r="D462" s="35"/>
      <c r="E462" s="35"/>
      <c r="F462" s="35"/>
      <c r="G462" s="35"/>
      <c r="H462" s="35"/>
      <c r="I462" s="35"/>
      <c r="J462" s="35"/>
      <c r="K462" s="35"/>
      <c r="L462" s="35"/>
      <c r="M462" s="35"/>
      <c r="N462" s="35"/>
    </row>
    <row r="463" spans="4:14" x14ac:dyDescent="0.2">
      <c r="D463" s="35"/>
      <c r="E463" s="35"/>
      <c r="F463" s="35"/>
      <c r="G463" s="35"/>
      <c r="H463" s="35"/>
      <c r="I463" s="35"/>
      <c r="J463" s="35"/>
      <c r="K463" s="35"/>
      <c r="L463" s="35"/>
      <c r="M463" s="35"/>
      <c r="N463" s="35"/>
    </row>
    <row r="464" spans="4:14" x14ac:dyDescent="0.2">
      <c r="D464" s="35"/>
      <c r="E464" s="35"/>
      <c r="F464" s="35"/>
      <c r="G464" s="35"/>
      <c r="H464" s="35"/>
      <c r="I464" s="35"/>
      <c r="J464" s="35"/>
      <c r="K464" s="35"/>
      <c r="L464" s="35"/>
      <c r="M464" s="35"/>
      <c r="N464" s="35"/>
    </row>
    <row r="465" spans="4:14" x14ac:dyDescent="0.2">
      <c r="D465" s="35"/>
      <c r="E465" s="35"/>
      <c r="F465" s="35"/>
      <c r="G465" s="35"/>
      <c r="H465" s="35"/>
      <c r="I465" s="35"/>
      <c r="J465" s="35"/>
      <c r="K465" s="35"/>
      <c r="L465" s="35"/>
      <c r="M465" s="35"/>
      <c r="N465" s="35"/>
    </row>
    <row r="466" spans="4:14" x14ac:dyDescent="0.2">
      <c r="D466" s="35"/>
      <c r="E466" s="35"/>
      <c r="F466" s="35"/>
      <c r="G466" s="35"/>
      <c r="H466" s="35"/>
      <c r="I466" s="35"/>
      <c r="J466" s="35"/>
      <c r="K466" s="35"/>
      <c r="L466" s="35"/>
      <c r="M466" s="35"/>
      <c r="N466" s="35"/>
    </row>
    <row r="467" spans="4:14" x14ac:dyDescent="0.2">
      <c r="D467" s="35"/>
      <c r="E467" s="35"/>
      <c r="F467" s="35"/>
      <c r="G467" s="35"/>
      <c r="H467" s="35"/>
      <c r="I467" s="35"/>
      <c r="J467" s="35"/>
      <c r="K467" s="35"/>
      <c r="L467" s="35"/>
      <c r="M467" s="35"/>
      <c r="N467" s="35"/>
    </row>
    <row r="468" spans="4:14" x14ac:dyDescent="0.2">
      <c r="D468" s="35"/>
      <c r="E468" s="35"/>
      <c r="F468" s="35"/>
      <c r="G468" s="35"/>
      <c r="H468" s="35"/>
      <c r="I468" s="35"/>
      <c r="J468" s="35"/>
      <c r="K468" s="35"/>
      <c r="L468" s="35"/>
      <c r="M468" s="35"/>
      <c r="N468" s="35"/>
    </row>
    <row r="469" spans="4:14" x14ac:dyDescent="0.2">
      <c r="D469" s="35"/>
      <c r="E469" s="35"/>
      <c r="F469" s="35"/>
      <c r="G469" s="35"/>
      <c r="H469" s="35"/>
      <c r="I469" s="35"/>
      <c r="J469" s="35"/>
      <c r="K469" s="35"/>
      <c r="L469" s="35"/>
      <c r="M469" s="35"/>
      <c r="N469" s="35"/>
    </row>
    <row r="470" spans="4:14" x14ac:dyDescent="0.2">
      <c r="D470" s="35"/>
      <c r="E470" s="35"/>
      <c r="F470" s="35"/>
      <c r="G470" s="35"/>
      <c r="H470" s="35"/>
      <c r="I470" s="35"/>
      <c r="J470" s="35"/>
      <c r="K470" s="35"/>
      <c r="L470" s="35"/>
      <c r="M470" s="35"/>
      <c r="N470" s="35"/>
    </row>
    <row r="471" spans="4:14" x14ac:dyDescent="0.2">
      <c r="D471" s="35"/>
      <c r="E471" s="35"/>
      <c r="F471" s="35"/>
      <c r="G471" s="35"/>
      <c r="H471" s="35"/>
      <c r="I471" s="35"/>
      <c r="J471" s="35"/>
      <c r="K471" s="35"/>
      <c r="L471" s="35"/>
      <c r="M471" s="35"/>
      <c r="N471" s="35"/>
    </row>
    <row r="472" spans="4:14" x14ac:dyDescent="0.2">
      <c r="D472" s="35"/>
      <c r="E472" s="35"/>
      <c r="F472" s="35"/>
      <c r="G472" s="35"/>
      <c r="H472" s="35"/>
      <c r="I472" s="35"/>
      <c r="J472" s="35"/>
      <c r="K472" s="35"/>
      <c r="L472" s="35"/>
      <c r="M472" s="35"/>
      <c r="N472" s="35"/>
    </row>
    <row r="473" spans="4:14" x14ac:dyDescent="0.2">
      <c r="D473" s="35"/>
      <c r="E473" s="35"/>
      <c r="F473" s="35"/>
      <c r="G473" s="35"/>
      <c r="H473" s="35"/>
      <c r="I473" s="35"/>
      <c r="J473" s="35"/>
      <c r="K473" s="35"/>
      <c r="L473" s="35"/>
      <c r="M473" s="35"/>
      <c r="N473" s="35"/>
    </row>
    <row r="474" spans="4:14" x14ac:dyDescent="0.2">
      <c r="D474" s="35"/>
      <c r="E474" s="35"/>
      <c r="F474" s="35"/>
      <c r="G474" s="35"/>
      <c r="H474" s="35"/>
      <c r="I474" s="35"/>
      <c r="J474" s="35"/>
      <c r="K474" s="35"/>
      <c r="L474" s="35"/>
      <c r="M474" s="35"/>
      <c r="N474" s="35"/>
    </row>
    <row r="475" spans="4:14" x14ac:dyDescent="0.2">
      <c r="D475" s="35"/>
      <c r="E475" s="35"/>
      <c r="F475" s="35"/>
      <c r="G475" s="35"/>
      <c r="H475" s="35"/>
      <c r="I475" s="35"/>
      <c r="J475" s="35"/>
      <c r="K475" s="35"/>
      <c r="L475" s="35"/>
      <c r="M475" s="35"/>
      <c r="N475" s="35"/>
    </row>
    <row r="476" spans="4:14" x14ac:dyDescent="0.2">
      <c r="D476" s="35"/>
      <c r="E476" s="35"/>
      <c r="F476" s="35"/>
      <c r="G476" s="35"/>
      <c r="H476" s="35"/>
      <c r="I476" s="35"/>
      <c r="J476" s="35"/>
      <c r="K476" s="35"/>
      <c r="L476" s="35"/>
      <c r="M476" s="35"/>
      <c r="N476" s="35"/>
    </row>
    <row r="477" spans="4:14" x14ac:dyDescent="0.2">
      <c r="D477" s="35"/>
      <c r="E477" s="35"/>
      <c r="F477" s="35"/>
      <c r="G477" s="35"/>
      <c r="H477" s="35"/>
      <c r="I477" s="35"/>
      <c r="J477" s="35"/>
      <c r="K477" s="35"/>
      <c r="L477" s="35"/>
      <c r="M477" s="35"/>
      <c r="N477" s="35"/>
    </row>
    <row r="478" spans="4:14" x14ac:dyDescent="0.2">
      <c r="D478" s="35"/>
      <c r="E478" s="35"/>
      <c r="F478" s="35"/>
      <c r="G478" s="35"/>
      <c r="H478" s="35"/>
      <c r="I478" s="35"/>
      <c r="J478" s="35"/>
      <c r="K478" s="35"/>
      <c r="L478" s="35"/>
      <c r="M478" s="35"/>
      <c r="N478" s="35"/>
    </row>
    <row r="479" spans="4:14" x14ac:dyDescent="0.2">
      <c r="D479" s="35"/>
      <c r="E479" s="35"/>
      <c r="F479" s="35"/>
      <c r="G479" s="35"/>
      <c r="H479" s="35"/>
      <c r="I479" s="35"/>
      <c r="J479" s="35"/>
      <c r="K479" s="35"/>
      <c r="L479" s="35"/>
      <c r="M479" s="35"/>
      <c r="N479" s="35"/>
    </row>
    <row r="480" spans="4:14" x14ac:dyDescent="0.2">
      <c r="D480" s="35"/>
      <c r="E480" s="35"/>
      <c r="F480" s="35"/>
      <c r="G480" s="35"/>
      <c r="H480" s="35"/>
      <c r="I480" s="35"/>
      <c r="J480" s="35"/>
      <c r="K480" s="35"/>
      <c r="L480" s="35"/>
      <c r="M480" s="35"/>
      <c r="N480" s="35"/>
    </row>
    <row r="481" spans="4:14" x14ac:dyDescent="0.2">
      <c r="D481" s="35"/>
      <c r="E481" s="35"/>
      <c r="F481" s="35"/>
      <c r="G481" s="35"/>
      <c r="H481" s="35"/>
      <c r="I481" s="35"/>
      <c r="J481" s="35"/>
      <c r="K481" s="35"/>
      <c r="L481" s="35"/>
      <c r="M481" s="35"/>
      <c r="N481" s="35"/>
    </row>
    <row r="482" spans="4:14" x14ac:dyDescent="0.2">
      <c r="D482" s="35"/>
      <c r="E482" s="35"/>
      <c r="F482" s="35"/>
      <c r="G482" s="35"/>
      <c r="H482" s="35"/>
      <c r="I482" s="35"/>
      <c r="J482" s="35"/>
      <c r="K482" s="35"/>
      <c r="L482" s="35"/>
      <c r="M482" s="35"/>
      <c r="N482" s="35"/>
    </row>
    <row r="483" spans="4:14" x14ac:dyDescent="0.2">
      <c r="D483" s="35"/>
      <c r="E483" s="35"/>
      <c r="F483" s="35"/>
      <c r="G483" s="35"/>
      <c r="H483" s="35"/>
      <c r="I483" s="35"/>
      <c r="J483" s="35"/>
      <c r="K483" s="35"/>
      <c r="L483" s="35"/>
      <c r="M483" s="35"/>
      <c r="N483" s="35"/>
    </row>
    <row r="484" spans="4:14" x14ac:dyDescent="0.2">
      <c r="D484" s="35"/>
      <c r="E484" s="35"/>
      <c r="F484" s="35"/>
      <c r="G484" s="35"/>
      <c r="H484" s="35"/>
      <c r="I484" s="35"/>
      <c r="J484" s="35"/>
      <c r="K484" s="35"/>
      <c r="L484" s="35"/>
      <c r="M484" s="35"/>
      <c r="N484" s="35"/>
    </row>
    <row r="485" spans="4:14" x14ac:dyDescent="0.2">
      <c r="D485" s="35"/>
      <c r="E485" s="35"/>
      <c r="F485" s="35"/>
      <c r="G485" s="35"/>
      <c r="H485" s="35"/>
      <c r="I485" s="35"/>
      <c r="J485" s="35"/>
      <c r="K485" s="35"/>
      <c r="L485" s="35"/>
      <c r="M485" s="35"/>
      <c r="N485" s="35"/>
    </row>
    <row r="486" spans="4:14" x14ac:dyDescent="0.2">
      <c r="D486" s="35"/>
      <c r="E486" s="35"/>
      <c r="F486" s="35"/>
      <c r="G486" s="35"/>
      <c r="H486" s="35"/>
      <c r="I486" s="35"/>
      <c r="J486" s="35"/>
      <c r="K486" s="35"/>
      <c r="L486" s="35"/>
      <c r="M486" s="35"/>
      <c r="N486" s="35"/>
    </row>
    <row r="487" spans="4:14" x14ac:dyDescent="0.2">
      <c r="D487" s="35"/>
      <c r="E487" s="35"/>
      <c r="F487" s="35"/>
      <c r="G487" s="35"/>
      <c r="H487" s="35"/>
      <c r="I487" s="35"/>
      <c r="J487" s="35"/>
      <c r="K487" s="35"/>
      <c r="L487" s="35"/>
      <c r="M487" s="35"/>
      <c r="N487" s="35"/>
    </row>
    <row r="488" spans="4:14" x14ac:dyDescent="0.2">
      <c r="D488" s="35"/>
      <c r="E488" s="35"/>
      <c r="F488" s="35"/>
      <c r="G488" s="35"/>
      <c r="H488" s="35"/>
      <c r="I488" s="35"/>
      <c r="J488" s="35"/>
      <c r="K488" s="35"/>
      <c r="L488" s="35"/>
      <c r="M488" s="35"/>
      <c r="N488" s="35"/>
    </row>
    <row r="489" spans="4:14" x14ac:dyDescent="0.2">
      <c r="D489" s="35"/>
      <c r="E489" s="35"/>
      <c r="F489" s="35"/>
      <c r="G489" s="35"/>
      <c r="H489" s="35"/>
      <c r="I489" s="35"/>
      <c r="J489" s="35"/>
      <c r="K489" s="35"/>
      <c r="L489" s="35"/>
      <c r="M489" s="35"/>
      <c r="N489" s="35"/>
    </row>
    <row r="490" spans="4:14" x14ac:dyDescent="0.2">
      <c r="D490" s="35"/>
      <c r="E490" s="35"/>
      <c r="F490" s="35"/>
      <c r="G490" s="35"/>
      <c r="H490" s="35"/>
      <c r="I490" s="35"/>
      <c r="J490" s="35"/>
      <c r="K490" s="35"/>
      <c r="L490" s="35"/>
      <c r="M490" s="35"/>
      <c r="N490" s="35"/>
    </row>
    <row r="491" spans="4:14" x14ac:dyDescent="0.2">
      <c r="D491" s="35"/>
      <c r="E491" s="35"/>
      <c r="F491" s="35"/>
      <c r="G491" s="35"/>
      <c r="H491" s="35"/>
      <c r="I491" s="35"/>
      <c r="J491" s="35"/>
      <c r="K491" s="35"/>
      <c r="L491" s="35"/>
      <c r="M491" s="35"/>
      <c r="N491" s="35"/>
    </row>
    <row r="492" spans="4:14" x14ac:dyDescent="0.2">
      <c r="D492" s="35"/>
      <c r="E492" s="35"/>
      <c r="F492" s="35"/>
      <c r="G492" s="35"/>
      <c r="H492" s="35"/>
      <c r="I492" s="35"/>
      <c r="J492" s="35"/>
      <c r="K492" s="35"/>
      <c r="L492" s="35"/>
      <c r="M492" s="35"/>
      <c r="N492" s="35"/>
    </row>
    <row r="493" spans="4:14" x14ac:dyDescent="0.2">
      <c r="D493" s="35"/>
      <c r="E493" s="35"/>
      <c r="F493" s="35"/>
      <c r="G493" s="35"/>
      <c r="H493" s="35"/>
      <c r="I493" s="35"/>
      <c r="J493" s="35"/>
      <c r="K493" s="35"/>
      <c r="L493" s="35"/>
      <c r="M493" s="35"/>
      <c r="N493" s="35"/>
    </row>
    <row r="494" spans="4:14" x14ac:dyDescent="0.2">
      <c r="D494" s="35"/>
      <c r="E494" s="35"/>
      <c r="F494" s="35"/>
      <c r="G494" s="35"/>
      <c r="H494" s="35"/>
      <c r="I494" s="35"/>
      <c r="J494" s="35"/>
      <c r="K494" s="35"/>
      <c r="L494" s="35"/>
      <c r="M494" s="35"/>
      <c r="N494" s="35"/>
    </row>
    <row r="495" spans="4:14" x14ac:dyDescent="0.2">
      <c r="D495" s="35"/>
      <c r="E495" s="35"/>
      <c r="F495" s="35"/>
      <c r="G495" s="35"/>
      <c r="H495" s="35"/>
      <c r="I495" s="35"/>
      <c r="J495" s="35"/>
      <c r="K495" s="35"/>
      <c r="L495" s="35"/>
      <c r="M495" s="35"/>
      <c r="N495" s="35"/>
    </row>
    <row r="496" spans="4:14" x14ac:dyDescent="0.2">
      <c r="D496" s="35"/>
      <c r="E496" s="35"/>
      <c r="F496" s="35"/>
      <c r="G496" s="35"/>
      <c r="H496" s="35"/>
      <c r="I496" s="35"/>
      <c r="J496" s="35"/>
      <c r="K496" s="35"/>
      <c r="L496" s="35"/>
      <c r="M496" s="35"/>
      <c r="N496" s="35"/>
    </row>
    <row r="497" spans="4:14" x14ac:dyDescent="0.2">
      <c r="D497" s="35"/>
      <c r="E497" s="35"/>
      <c r="F497" s="35"/>
      <c r="G497" s="35"/>
      <c r="H497" s="35"/>
      <c r="I497" s="35"/>
      <c r="J497" s="35"/>
      <c r="K497" s="35"/>
      <c r="L497" s="35"/>
      <c r="M497" s="35"/>
      <c r="N497" s="35"/>
    </row>
    <row r="498" spans="4:14" x14ac:dyDescent="0.2">
      <c r="D498" s="35"/>
      <c r="E498" s="35"/>
      <c r="F498" s="35"/>
      <c r="G498" s="35"/>
      <c r="H498" s="35"/>
      <c r="I498" s="35"/>
      <c r="J498" s="35"/>
      <c r="K498" s="35"/>
      <c r="L498" s="35"/>
      <c r="M498" s="35"/>
      <c r="N498" s="35"/>
    </row>
    <row r="499" spans="4:14" x14ac:dyDescent="0.2">
      <c r="D499" s="35"/>
      <c r="E499" s="35"/>
      <c r="F499" s="35"/>
      <c r="G499" s="35"/>
      <c r="H499" s="35"/>
      <c r="I499" s="35"/>
      <c r="J499" s="35"/>
      <c r="K499" s="35"/>
      <c r="L499" s="35"/>
      <c r="M499" s="35"/>
      <c r="N499" s="35"/>
    </row>
    <row r="500" spans="4:14" x14ac:dyDescent="0.2">
      <c r="D500" s="35"/>
      <c r="E500" s="35"/>
      <c r="F500" s="35"/>
      <c r="G500" s="35"/>
      <c r="H500" s="35"/>
      <c r="I500" s="35"/>
      <c r="J500" s="35"/>
      <c r="K500" s="35"/>
      <c r="L500" s="35"/>
      <c r="M500" s="35"/>
      <c r="N500" s="35"/>
    </row>
    <row r="501" spans="4:14" x14ac:dyDescent="0.2">
      <c r="D501" s="35"/>
      <c r="E501" s="35"/>
      <c r="F501" s="35"/>
      <c r="G501" s="35"/>
      <c r="H501" s="35"/>
      <c r="I501" s="35"/>
      <c r="J501" s="35"/>
      <c r="K501" s="35"/>
      <c r="L501" s="35"/>
      <c r="M501" s="35"/>
      <c r="N501" s="35"/>
    </row>
    <row r="502" spans="4:14" x14ac:dyDescent="0.2">
      <c r="D502" s="35"/>
      <c r="E502" s="35"/>
      <c r="F502" s="35"/>
      <c r="G502" s="35"/>
      <c r="H502" s="35"/>
      <c r="I502" s="35"/>
      <c r="J502" s="35"/>
      <c r="K502" s="35"/>
      <c r="L502" s="35"/>
      <c r="M502" s="35"/>
      <c r="N502" s="35"/>
    </row>
    <row r="503" spans="4:14" x14ac:dyDescent="0.2">
      <c r="D503" s="35"/>
      <c r="E503" s="35"/>
      <c r="F503" s="35"/>
      <c r="G503" s="35"/>
      <c r="H503" s="35"/>
      <c r="I503" s="35"/>
      <c r="J503" s="35"/>
      <c r="K503" s="35"/>
      <c r="L503" s="35"/>
      <c r="M503" s="35"/>
      <c r="N503" s="35"/>
    </row>
    <row r="504" spans="4:14" x14ac:dyDescent="0.2">
      <c r="D504" s="35"/>
      <c r="E504" s="35"/>
      <c r="F504" s="35"/>
      <c r="G504" s="35"/>
      <c r="H504" s="35"/>
      <c r="I504" s="35"/>
      <c r="J504" s="35"/>
      <c r="K504" s="35"/>
      <c r="L504" s="35"/>
      <c r="M504" s="35"/>
      <c r="N504" s="35"/>
    </row>
    <row r="505" spans="4:14" x14ac:dyDescent="0.2">
      <c r="D505" s="35"/>
      <c r="E505" s="35"/>
      <c r="F505" s="35"/>
      <c r="G505" s="35"/>
      <c r="H505" s="35"/>
      <c r="I505" s="35"/>
      <c r="J505" s="35"/>
      <c r="K505" s="35"/>
      <c r="L505" s="35"/>
      <c r="M505" s="35"/>
      <c r="N505" s="35"/>
    </row>
    <row r="506" spans="4:14" x14ac:dyDescent="0.2">
      <c r="D506" s="35"/>
      <c r="E506" s="35"/>
      <c r="F506" s="35"/>
      <c r="G506" s="35"/>
      <c r="H506" s="35"/>
      <c r="I506" s="35"/>
      <c r="J506" s="35"/>
      <c r="K506" s="35"/>
      <c r="L506" s="35"/>
      <c r="M506" s="35"/>
      <c r="N506" s="35"/>
    </row>
    <row r="507" spans="4:14" x14ac:dyDescent="0.2">
      <c r="D507" s="35"/>
      <c r="E507" s="35"/>
      <c r="F507" s="35"/>
      <c r="G507" s="35"/>
      <c r="H507" s="35"/>
      <c r="I507" s="35"/>
      <c r="J507" s="35"/>
      <c r="K507" s="35"/>
      <c r="L507" s="35"/>
      <c r="M507" s="35"/>
      <c r="N507" s="35"/>
    </row>
    <row r="508" spans="4:14" x14ac:dyDescent="0.2">
      <c r="D508" s="35"/>
      <c r="E508" s="35"/>
      <c r="F508" s="35"/>
      <c r="G508" s="35"/>
      <c r="H508" s="35"/>
      <c r="I508" s="35"/>
      <c r="J508" s="35"/>
      <c r="K508" s="35"/>
      <c r="L508" s="35"/>
      <c r="M508" s="35"/>
      <c r="N508" s="35"/>
    </row>
    <row r="509" spans="4:14" x14ac:dyDescent="0.2">
      <c r="D509" s="35"/>
      <c r="E509" s="35"/>
      <c r="F509" s="35"/>
      <c r="G509" s="35"/>
      <c r="H509" s="35"/>
      <c r="I509" s="35"/>
      <c r="J509" s="35"/>
      <c r="K509" s="35"/>
      <c r="L509" s="35"/>
      <c r="M509" s="35"/>
      <c r="N509" s="35"/>
    </row>
    <row r="510" spans="4:14" x14ac:dyDescent="0.2">
      <c r="D510" s="35"/>
      <c r="E510" s="35"/>
      <c r="F510" s="35"/>
      <c r="G510" s="35"/>
      <c r="H510" s="35"/>
      <c r="I510" s="35"/>
      <c r="J510" s="35"/>
      <c r="K510" s="35"/>
      <c r="L510" s="35"/>
      <c r="M510" s="35"/>
      <c r="N510" s="35"/>
    </row>
    <row r="511" spans="4:14" x14ac:dyDescent="0.2">
      <c r="D511" s="35"/>
      <c r="E511" s="35"/>
      <c r="F511" s="35"/>
      <c r="G511" s="35"/>
      <c r="H511" s="35"/>
      <c r="I511" s="35"/>
      <c r="J511" s="35"/>
      <c r="K511" s="35"/>
      <c r="L511" s="35"/>
      <c r="M511" s="35"/>
      <c r="N511" s="35"/>
    </row>
    <row r="512" spans="4:14" x14ac:dyDescent="0.2">
      <c r="D512" s="35"/>
      <c r="E512" s="35"/>
      <c r="F512" s="35"/>
      <c r="G512" s="35"/>
      <c r="H512" s="35"/>
      <c r="I512" s="35"/>
      <c r="J512" s="35"/>
      <c r="K512" s="35"/>
      <c r="L512" s="35"/>
      <c r="M512" s="35"/>
      <c r="N512" s="35"/>
    </row>
    <row r="513" spans="4:14" x14ac:dyDescent="0.2">
      <c r="D513" s="35"/>
      <c r="E513" s="35"/>
      <c r="F513" s="35"/>
      <c r="G513" s="35"/>
      <c r="H513" s="35"/>
      <c r="I513" s="35"/>
      <c r="J513" s="35"/>
      <c r="K513" s="35"/>
      <c r="L513" s="35"/>
      <c r="M513" s="35"/>
      <c r="N513" s="35"/>
    </row>
    <row r="514" spans="4:14" x14ac:dyDescent="0.2">
      <c r="D514" s="35"/>
      <c r="E514" s="35"/>
      <c r="F514" s="35"/>
      <c r="G514" s="35"/>
      <c r="H514" s="35"/>
      <c r="I514" s="35"/>
      <c r="J514" s="35"/>
      <c r="K514" s="35"/>
      <c r="L514" s="35"/>
      <c r="M514" s="35"/>
      <c r="N514" s="35"/>
    </row>
    <row r="515" spans="4:14" x14ac:dyDescent="0.2">
      <c r="D515" s="35"/>
      <c r="E515" s="35"/>
      <c r="F515" s="35"/>
      <c r="G515" s="35"/>
      <c r="H515" s="35"/>
      <c r="I515" s="35"/>
      <c r="J515" s="35"/>
      <c r="K515" s="35"/>
      <c r="L515" s="35"/>
      <c r="M515" s="35"/>
      <c r="N515" s="35"/>
    </row>
    <row r="516" spans="4:14" x14ac:dyDescent="0.2">
      <c r="D516" s="35"/>
      <c r="E516" s="35"/>
      <c r="F516" s="35"/>
      <c r="G516" s="35"/>
      <c r="H516" s="35"/>
      <c r="I516" s="35"/>
      <c r="J516" s="35"/>
      <c r="K516" s="35"/>
      <c r="L516" s="35"/>
      <c r="M516" s="35"/>
      <c r="N516" s="35"/>
    </row>
    <row r="517" spans="4:14" x14ac:dyDescent="0.2">
      <c r="D517" s="35"/>
      <c r="E517" s="35"/>
      <c r="F517" s="35"/>
      <c r="G517" s="35"/>
      <c r="H517" s="35"/>
      <c r="I517" s="35"/>
      <c r="J517" s="35"/>
      <c r="K517" s="35"/>
      <c r="L517" s="35"/>
      <c r="M517" s="35"/>
      <c r="N517" s="35"/>
    </row>
    <row r="518" spans="4:14" x14ac:dyDescent="0.2">
      <c r="D518" s="35"/>
      <c r="E518" s="35"/>
      <c r="F518" s="35"/>
      <c r="G518" s="35"/>
      <c r="H518" s="35"/>
      <c r="I518" s="35"/>
      <c r="J518" s="35"/>
      <c r="K518" s="35"/>
      <c r="L518" s="35"/>
      <c r="M518" s="35"/>
      <c r="N518" s="35"/>
    </row>
    <row r="519" spans="4:14" x14ac:dyDescent="0.2">
      <c r="D519" s="35"/>
      <c r="E519" s="35"/>
      <c r="F519" s="35"/>
      <c r="G519" s="35"/>
      <c r="H519" s="35"/>
      <c r="I519" s="35"/>
      <c r="J519" s="35"/>
      <c r="K519" s="35"/>
      <c r="L519" s="35"/>
      <c r="M519" s="35"/>
      <c r="N519" s="35"/>
    </row>
    <row r="520" spans="4:14" x14ac:dyDescent="0.2">
      <c r="D520" s="35"/>
      <c r="E520" s="35"/>
      <c r="F520" s="35"/>
      <c r="G520" s="35"/>
      <c r="H520" s="35"/>
      <c r="I520" s="35"/>
      <c r="J520" s="35"/>
      <c r="K520" s="35"/>
      <c r="L520" s="35"/>
      <c r="M520" s="35"/>
      <c r="N520" s="35"/>
    </row>
    <row r="521" spans="4:14" x14ac:dyDescent="0.2">
      <c r="D521" s="35"/>
      <c r="E521" s="35"/>
      <c r="F521" s="35"/>
      <c r="G521" s="35"/>
      <c r="H521" s="35"/>
      <c r="I521" s="35"/>
      <c r="J521" s="35"/>
      <c r="K521" s="35"/>
      <c r="L521" s="35"/>
      <c r="M521" s="35"/>
      <c r="N521" s="35"/>
    </row>
    <row r="522" spans="4:14" x14ac:dyDescent="0.2">
      <c r="D522" s="35"/>
      <c r="E522" s="35"/>
      <c r="F522" s="35"/>
      <c r="G522" s="35"/>
      <c r="H522" s="35"/>
      <c r="I522" s="35"/>
      <c r="J522" s="35"/>
      <c r="K522" s="35"/>
      <c r="L522" s="35"/>
      <c r="M522" s="35"/>
      <c r="N522" s="35"/>
    </row>
    <row r="523" spans="4:14" x14ac:dyDescent="0.2">
      <c r="D523" s="35"/>
      <c r="E523" s="35"/>
      <c r="F523" s="35"/>
      <c r="G523" s="35"/>
      <c r="H523" s="35"/>
      <c r="I523" s="35"/>
      <c r="J523" s="35"/>
      <c r="K523" s="35"/>
      <c r="L523" s="35"/>
      <c r="M523" s="35"/>
      <c r="N523" s="35"/>
    </row>
    <row r="524" spans="4:14" x14ac:dyDescent="0.2">
      <c r="D524" s="35"/>
      <c r="E524" s="35"/>
      <c r="F524" s="35"/>
      <c r="G524" s="35"/>
      <c r="H524" s="35"/>
      <c r="I524" s="35"/>
      <c r="J524" s="35"/>
      <c r="K524" s="35"/>
      <c r="L524" s="35"/>
      <c r="M524" s="35"/>
      <c r="N524" s="35"/>
    </row>
    <row r="525" spans="4:14" x14ac:dyDescent="0.2">
      <c r="D525" s="35"/>
      <c r="E525" s="35"/>
      <c r="F525" s="35"/>
      <c r="G525" s="35"/>
      <c r="H525" s="35"/>
      <c r="I525" s="35"/>
      <c r="J525" s="35"/>
      <c r="K525" s="35"/>
      <c r="L525" s="35"/>
      <c r="M525" s="35"/>
      <c r="N525" s="35"/>
    </row>
    <row r="526" spans="4:14" x14ac:dyDescent="0.2">
      <c r="D526" s="35"/>
      <c r="E526" s="35"/>
      <c r="F526" s="35"/>
      <c r="G526" s="35"/>
      <c r="H526" s="35"/>
      <c r="I526" s="35"/>
      <c r="J526" s="35"/>
      <c r="K526" s="35"/>
      <c r="L526" s="35"/>
      <c r="M526" s="35"/>
      <c r="N526" s="35"/>
    </row>
    <row r="527" spans="4:14" x14ac:dyDescent="0.2">
      <c r="D527" s="35"/>
      <c r="E527" s="35"/>
      <c r="F527" s="35"/>
      <c r="G527" s="35"/>
      <c r="H527" s="35"/>
      <c r="I527" s="35"/>
      <c r="J527" s="35"/>
      <c r="K527" s="35"/>
      <c r="L527" s="35"/>
      <c r="M527" s="35"/>
      <c r="N527" s="35"/>
    </row>
    <row r="528" spans="4:14" x14ac:dyDescent="0.2">
      <c r="D528" s="35"/>
      <c r="E528" s="35"/>
      <c r="F528" s="35"/>
      <c r="G528" s="35"/>
      <c r="H528" s="35"/>
      <c r="I528" s="35"/>
      <c r="J528" s="35"/>
      <c r="K528" s="35"/>
      <c r="L528" s="35"/>
      <c r="M528" s="35"/>
      <c r="N528" s="35"/>
    </row>
    <row r="529" spans="4:14" x14ac:dyDescent="0.2">
      <c r="D529" s="35"/>
      <c r="E529" s="35"/>
      <c r="F529" s="35"/>
      <c r="G529" s="35"/>
      <c r="H529" s="35"/>
      <c r="I529" s="35"/>
      <c r="J529" s="35"/>
      <c r="K529" s="35"/>
      <c r="L529" s="35"/>
      <c r="M529" s="35"/>
      <c r="N529" s="35"/>
    </row>
    <row r="530" spans="4:14" x14ac:dyDescent="0.2">
      <c r="D530" s="35"/>
      <c r="E530" s="35"/>
      <c r="F530" s="35"/>
      <c r="G530" s="35"/>
      <c r="H530" s="35"/>
      <c r="I530" s="35"/>
      <c r="J530" s="35"/>
      <c r="K530" s="35"/>
      <c r="L530" s="35"/>
      <c r="M530" s="35"/>
      <c r="N530" s="35"/>
    </row>
    <row r="531" spans="4:14" x14ac:dyDescent="0.2">
      <c r="D531" s="35"/>
      <c r="E531" s="35"/>
      <c r="F531" s="35"/>
      <c r="G531" s="35"/>
      <c r="H531" s="35"/>
      <c r="I531" s="35"/>
      <c r="J531" s="35"/>
      <c r="K531" s="35"/>
      <c r="L531" s="35"/>
      <c r="M531" s="35"/>
      <c r="N531" s="35"/>
    </row>
    <row r="532" spans="4:14" x14ac:dyDescent="0.2">
      <c r="D532" s="35"/>
      <c r="E532" s="35"/>
      <c r="F532" s="35"/>
      <c r="G532" s="35"/>
      <c r="H532" s="35"/>
      <c r="I532" s="35"/>
      <c r="J532" s="35"/>
      <c r="K532" s="35"/>
      <c r="L532" s="35"/>
      <c r="M532" s="35"/>
      <c r="N532" s="35"/>
    </row>
    <row r="533" spans="4:14" x14ac:dyDescent="0.2">
      <c r="D533" s="35"/>
      <c r="E533" s="35"/>
      <c r="F533" s="35"/>
      <c r="G533" s="35"/>
      <c r="H533" s="35"/>
      <c r="I533" s="35"/>
      <c r="J533" s="35"/>
      <c r="K533" s="35"/>
      <c r="L533" s="35"/>
      <c r="M533" s="35"/>
      <c r="N533" s="35"/>
    </row>
    <row r="534" spans="4:14" x14ac:dyDescent="0.2">
      <c r="D534" s="35"/>
      <c r="E534" s="35"/>
      <c r="F534" s="35"/>
      <c r="G534" s="35"/>
      <c r="H534" s="35"/>
      <c r="I534" s="35"/>
      <c r="J534" s="35"/>
      <c r="K534" s="35"/>
      <c r="L534" s="35"/>
      <c r="M534" s="35"/>
      <c r="N534" s="35"/>
    </row>
    <row r="535" spans="4:14" x14ac:dyDescent="0.2">
      <c r="D535" s="35"/>
      <c r="E535" s="35"/>
      <c r="F535" s="35"/>
      <c r="G535" s="35"/>
      <c r="H535" s="35"/>
      <c r="I535" s="35"/>
      <c r="J535" s="35"/>
      <c r="K535" s="35"/>
      <c r="L535" s="35"/>
      <c r="M535" s="35"/>
      <c r="N535" s="35"/>
    </row>
    <row r="536" spans="4:14" x14ac:dyDescent="0.2">
      <c r="D536" s="35"/>
      <c r="E536" s="35"/>
      <c r="F536" s="35"/>
      <c r="G536" s="35"/>
      <c r="H536" s="35"/>
      <c r="I536" s="35"/>
      <c r="J536" s="35"/>
      <c r="K536" s="35"/>
      <c r="L536" s="35"/>
      <c r="M536" s="35"/>
      <c r="N536" s="35"/>
    </row>
    <row r="537" spans="4:14" x14ac:dyDescent="0.2">
      <c r="D537" s="35"/>
      <c r="E537" s="35"/>
      <c r="F537" s="35"/>
      <c r="G537" s="35"/>
      <c r="H537" s="35"/>
      <c r="I537" s="35"/>
      <c r="J537" s="35"/>
      <c r="K537" s="35"/>
      <c r="L537" s="35"/>
      <c r="M537" s="35"/>
      <c r="N537" s="35"/>
    </row>
    <row r="538" spans="4:14" x14ac:dyDescent="0.2">
      <c r="D538" s="35"/>
      <c r="E538" s="35"/>
      <c r="F538" s="35"/>
      <c r="G538" s="35"/>
      <c r="H538" s="35"/>
      <c r="I538" s="35"/>
      <c r="J538" s="35"/>
      <c r="K538" s="35"/>
      <c r="L538" s="35"/>
      <c r="M538" s="35"/>
      <c r="N538" s="35"/>
    </row>
    <row r="539" spans="4:14" x14ac:dyDescent="0.2">
      <c r="D539" s="35"/>
      <c r="E539" s="35"/>
      <c r="F539" s="35"/>
      <c r="G539" s="35"/>
      <c r="H539" s="35"/>
      <c r="I539" s="35"/>
      <c r="J539" s="35"/>
      <c r="K539" s="35"/>
      <c r="L539" s="35"/>
      <c r="M539" s="35"/>
      <c r="N539" s="35"/>
    </row>
    <row r="540" spans="4:14" x14ac:dyDescent="0.2">
      <c r="D540" s="35"/>
      <c r="E540" s="35"/>
      <c r="F540" s="35"/>
      <c r="G540" s="35"/>
      <c r="H540" s="35"/>
      <c r="I540" s="35"/>
      <c r="J540" s="35"/>
      <c r="K540" s="35"/>
      <c r="L540" s="35"/>
      <c r="M540" s="35"/>
      <c r="N540" s="35"/>
    </row>
    <row r="541" spans="4:14" x14ac:dyDescent="0.2">
      <c r="D541" s="35"/>
      <c r="E541" s="35"/>
      <c r="F541" s="35"/>
      <c r="G541" s="35"/>
      <c r="H541" s="35"/>
      <c r="I541" s="35"/>
      <c r="J541" s="35"/>
      <c r="K541" s="35"/>
      <c r="L541" s="35"/>
      <c r="M541" s="35"/>
      <c r="N541" s="35"/>
    </row>
    <row r="542" spans="4:14" x14ac:dyDescent="0.2">
      <c r="D542" s="35"/>
      <c r="E542" s="35"/>
      <c r="F542" s="35"/>
      <c r="G542" s="35"/>
      <c r="H542" s="35"/>
      <c r="I542" s="35"/>
      <c r="J542" s="35"/>
      <c r="K542" s="35"/>
      <c r="L542" s="35"/>
      <c r="M542" s="35"/>
      <c r="N542" s="35"/>
    </row>
    <row r="543" spans="4:14" x14ac:dyDescent="0.2">
      <c r="D543" s="35"/>
      <c r="E543" s="35"/>
      <c r="F543" s="35"/>
      <c r="G543" s="35"/>
      <c r="H543" s="35"/>
      <c r="I543" s="35"/>
      <c r="J543" s="35"/>
      <c r="K543" s="35"/>
      <c r="L543" s="35"/>
      <c r="M543" s="35"/>
      <c r="N543" s="35"/>
    </row>
    <row r="544" spans="4:14" x14ac:dyDescent="0.2">
      <c r="D544" s="35"/>
      <c r="E544" s="35"/>
      <c r="F544" s="35"/>
      <c r="G544" s="35"/>
      <c r="H544" s="35"/>
      <c r="I544" s="35"/>
      <c r="J544" s="35"/>
      <c r="K544" s="35"/>
      <c r="L544" s="35"/>
      <c r="M544" s="35"/>
      <c r="N544" s="35"/>
    </row>
    <row r="545" spans="4:14" x14ac:dyDescent="0.2">
      <c r="D545" s="35"/>
      <c r="E545" s="35"/>
      <c r="F545" s="35"/>
      <c r="G545" s="35"/>
      <c r="H545" s="35"/>
      <c r="I545" s="35"/>
      <c r="J545" s="35"/>
      <c r="K545" s="35"/>
      <c r="L545" s="35"/>
      <c r="M545" s="35"/>
      <c r="N545" s="35"/>
    </row>
    <row r="546" spans="4:14" x14ac:dyDescent="0.2">
      <c r="D546" s="35"/>
      <c r="E546" s="35"/>
      <c r="F546" s="35"/>
      <c r="G546" s="35"/>
      <c r="H546" s="35"/>
      <c r="I546" s="35"/>
      <c r="J546" s="35"/>
      <c r="K546" s="35"/>
      <c r="L546" s="35"/>
      <c r="M546" s="35"/>
      <c r="N546" s="35"/>
    </row>
    <row r="547" spans="4:14" x14ac:dyDescent="0.2">
      <c r="D547" s="35"/>
      <c r="E547" s="35"/>
      <c r="F547" s="35"/>
      <c r="G547" s="35"/>
      <c r="H547" s="35"/>
      <c r="I547" s="35"/>
      <c r="J547" s="35"/>
      <c r="K547" s="35"/>
      <c r="L547" s="35"/>
      <c r="M547" s="35"/>
      <c r="N547" s="35"/>
    </row>
    <row r="548" spans="4:14" x14ac:dyDescent="0.2">
      <c r="D548" s="35"/>
      <c r="E548" s="35"/>
      <c r="F548" s="35"/>
      <c r="G548" s="35"/>
      <c r="H548" s="35"/>
      <c r="I548" s="35"/>
      <c r="J548" s="35"/>
      <c r="K548" s="35"/>
      <c r="L548" s="35"/>
      <c r="M548" s="35"/>
      <c r="N548" s="35"/>
    </row>
    <row r="549" spans="4:14" x14ac:dyDescent="0.2">
      <c r="D549" s="35"/>
      <c r="E549" s="35"/>
      <c r="F549" s="35"/>
      <c r="G549" s="35"/>
      <c r="H549" s="35"/>
      <c r="I549" s="35"/>
      <c r="J549" s="35"/>
      <c r="K549" s="35"/>
      <c r="L549" s="35"/>
      <c r="M549" s="35"/>
      <c r="N549" s="35"/>
    </row>
    <row r="550" spans="4:14" x14ac:dyDescent="0.2">
      <c r="D550" s="35"/>
      <c r="E550" s="35"/>
      <c r="F550" s="35"/>
      <c r="G550" s="35"/>
      <c r="H550" s="35"/>
      <c r="I550" s="35"/>
      <c r="J550" s="35"/>
      <c r="K550" s="35"/>
      <c r="L550" s="35"/>
      <c r="M550" s="35"/>
      <c r="N550" s="35"/>
    </row>
    <row r="551" spans="4:14" x14ac:dyDescent="0.2">
      <c r="D551" s="35"/>
      <c r="E551" s="35"/>
      <c r="F551" s="35"/>
      <c r="G551" s="35"/>
      <c r="H551" s="35"/>
      <c r="I551" s="35"/>
      <c r="J551" s="35"/>
      <c r="K551" s="35"/>
      <c r="L551" s="35"/>
      <c r="M551" s="35"/>
      <c r="N551" s="35"/>
    </row>
    <row r="552" spans="4:14" x14ac:dyDescent="0.2">
      <c r="D552" s="35"/>
      <c r="E552" s="35"/>
      <c r="F552" s="35"/>
      <c r="G552" s="35"/>
      <c r="H552" s="35"/>
      <c r="I552" s="35"/>
      <c r="J552" s="35"/>
      <c r="K552" s="35"/>
      <c r="L552" s="35"/>
      <c r="M552" s="35"/>
      <c r="N552" s="35"/>
    </row>
    <row r="553" spans="4:14" x14ac:dyDescent="0.2">
      <c r="D553" s="35"/>
      <c r="E553" s="35"/>
      <c r="F553" s="35"/>
      <c r="G553" s="35"/>
      <c r="H553" s="35"/>
      <c r="I553" s="35"/>
      <c r="J553" s="35"/>
      <c r="K553" s="35"/>
      <c r="L553" s="35"/>
      <c r="M553" s="35"/>
      <c r="N553" s="35"/>
    </row>
    <row r="554" spans="4:14" x14ac:dyDescent="0.2">
      <c r="D554" s="35"/>
      <c r="E554" s="35"/>
      <c r="F554" s="35"/>
      <c r="G554" s="35"/>
      <c r="H554" s="35"/>
      <c r="I554" s="35"/>
      <c r="J554" s="35"/>
      <c r="K554" s="35"/>
      <c r="L554" s="35"/>
      <c r="M554" s="35"/>
      <c r="N554" s="35"/>
    </row>
    <row r="555" spans="4:14" x14ac:dyDescent="0.2">
      <c r="D555" s="35"/>
      <c r="E555" s="35"/>
      <c r="F555" s="35"/>
      <c r="G555" s="35"/>
      <c r="H555" s="35"/>
      <c r="I555" s="35"/>
      <c r="J555" s="35"/>
      <c r="K555" s="35"/>
      <c r="L555" s="35"/>
      <c r="M555" s="35"/>
      <c r="N555" s="35"/>
    </row>
    <row r="556" spans="4:14" x14ac:dyDescent="0.2">
      <c r="D556" s="35"/>
      <c r="E556" s="35"/>
      <c r="F556" s="35"/>
      <c r="G556" s="35"/>
      <c r="H556" s="35"/>
      <c r="I556" s="35"/>
      <c r="J556" s="35"/>
      <c r="K556" s="35"/>
      <c r="L556" s="35"/>
      <c r="M556" s="35"/>
      <c r="N556" s="35"/>
    </row>
    <row r="557" spans="4:14" x14ac:dyDescent="0.2">
      <c r="D557" s="35"/>
      <c r="E557" s="35"/>
      <c r="F557" s="35"/>
      <c r="G557" s="35"/>
      <c r="H557" s="35"/>
      <c r="I557" s="35"/>
      <c r="J557" s="35"/>
      <c r="K557" s="35"/>
      <c r="L557" s="35"/>
      <c r="M557" s="35"/>
      <c r="N557" s="35"/>
    </row>
    <row r="558" spans="4:14" x14ac:dyDescent="0.2">
      <c r="D558" s="35"/>
      <c r="E558" s="35"/>
      <c r="F558" s="35"/>
      <c r="G558" s="35"/>
      <c r="H558" s="35"/>
      <c r="I558" s="35"/>
      <c r="J558" s="35"/>
      <c r="K558" s="35"/>
      <c r="L558" s="35"/>
      <c r="M558" s="35"/>
      <c r="N558" s="35"/>
    </row>
    <row r="559" spans="4:14" x14ac:dyDescent="0.2">
      <c r="D559" s="35"/>
      <c r="E559" s="35"/>
      <c r="F559" s="35"/>
      <c r="G559" s="35"/>
      <c r="H559" s="35"/>
      <c r="I559" s="35"/>
      <c r="J559" s="35"/>
      <c r="K559" s="35"/>
      <c r="L559" s="35"/>
      <c r="M559" s="35"/>
      <c r="N559" s="35"/>
    </row>
    <row r="560" spans="4:14" x14ac:dyDescent="0.2">
      <c r="D560" s="35"/>
      <c r="E560" s="35"/>
      <c r="F560" s="35"/>
      <c r="G560" s="35"/>
      <c r="H560" s="35"/>
      <c r="I560" s="35"/>
      <c r="J560" s="35"/>
      <c r="K560" s="35"/>
      <c r="L560" s="35"/>
      <c r="M560" s="35"/>
      <c r="N560" s="35"/>
    </row>
    <row r="561" spans="4:14" x14ac:dyDescent="0.2">
      <c r="D561" s="35"/>
      <c r="E561" s="35"/>
      <c r="F561" s="35"/>
      <c r="G561" s="35"/>
      <c r="H561" s="35"/>
      <c r="I561" s="35"/>
      <c r="J561" s="35"/>
      <c r="K561" s="35"/>
      <c r="L561" s="35"/>
      <c r="M561" s="35"/>
      <c r="N561" s="35"/>
    </row>
    <row r="562" spans="4:14" x14ac:dyDescent="0.2">
      <c r="D562" s="35"/>
      <c r="E562" s="35"/>
      <c r="F562" s="35"/>
      <c r="G562" s="35"/>
      <c r="H562" s="35"/>
      <c r="I562" s="35"/>
      <c r="J562" s="35"/>
      <c r="K562" s="35"/>
      <c r="L562" s="35"/>
      <c r="M562" s="35"/>
      <c r="N562" s="35"/>
    </row>
    <row r="563" spans="4:14" x14ac:dyDescent="0.2">
      <c r="D563" s="35"/>
      <c r="E563" s="35"/>
      <c r="F563" s="35"/>
      <c r="G563" s="35"/>
      <c r="H563" s="35"/>
      <c r="I563" s="35"/>
      <c r="J563" s="35"/>
      <c r="K563" s="35"/>
      <c r="L563" s="35"/>
      <c r="M563" s="35"/>
      <c r="N563" s="35"/>
    </row>
    <row r="564" spans="4:14" x14ac:dyDescent="0.2">
      <c r="D564" s="35"/>
      <c r="E564" s="35"/>
      <c r="F564" s="35"/>
      <c r="G564" s="35"/>
      <c r="H564" s="35"/>
      <c r="I564" s="35"/>
      <c r="J564" s="35"/>
      <c r="K564" s="35"/>
      <c r="L564" s="35"/>
      <c r="M564" s="35"/>
      <c r="N564" s="35"/>
    </row>
    <row r="565" spans="4:14" x14ac:dyDescent="0.2">
      <c r="D565" s="35"/>
      <c r="E565" s="35"/>
      <c r="F565" s="35"/>
      <c r="G565" s="35"/>
      <c r="H565" s="35"/>
      <c r="I565" s="35"/>
      <c r="J565" s="35"/>
      <c r="K565" s="35"/>
      <c r="L565" s="35"/>
      <c r="M565" s="35"/>
      <c r="N565" s="35"/>
    </row>
    <row r="566" spans="4:14" x14ac:dyDescent="0.2">
      <c r="D566" s="35"/>
      <c r="E566" s="35"/>
      <c r="F566" s="35"/>
      <c r="G566" s="35"/>
      <c r="H566" s="35"/>
      <c r="I566" s="35"/>
      <c r="J566" s="35"/>
      <c r="K566" s="35"/>
      <c r="L566" s="35"/>
      <c r="M566" s="35"/>
      <c r="N566" s="35"/>
    </row>
    <row r="567" spans="4:14" x14ac:dyDescent="0.2">
      <c r="D567" s="35"/>
      <c r="E567" s="35"/>
      <c r="F567" s="35"/>
      <c r="G567" s="35"/>
      <c r="H567" s="35"/>
      <c r="I567" s="35"/>
      <c r="J567" s="35"/>
      <c r="K567" s="35"/>
      <c r="L567" s="35"/>
      <c r="M567" s="35"/>
      <c r="N567" s="35"/>
    </row>
    <row r="568" spans="4:14" x14ac:dyDescent="0.2">
      <c r="D568" s="35"/>
      <c r="E568" s="35"/>
      <c r="F568" s="35"/>
      <c r="G568" s="35"/>
      <c r="H568" s="35"/>
      <c r="I568" s="35"/>
      <c r="J568" s="35"/>
      <c r="K568" s="35"/>
      <c r="L568" s="35"/>
      <c r="M568" s="35"/>
      <c r="N568" s="35"/>
    </row>
    <row r="569" spans="4:14" x14ac:dyDescent="0.2">
      <c r="D569" s="35"/>
      <c r="E569" s="35"/>
      <c r="F569" s="35"/>
      <c r="G569" s="35"/>
      <c r="H569" s="35"/>
      <c r="I569" s="35"/>
      <c r="J569" s="35"/>
      <c r="K569" s="35"/>
      <c r="L569" s="35"/>
      <c r="M569" s="35"/>
      <c r="N569" s="35"/>
    </row>
    <row r="570" spans="4:14" x14ac:dyDescent="0.2">
      <c r="D570" s="35"/>
      <c r="E570" s="35"/>
      <c r="F570" s="35"/>
      <c r="G570" s="35"/>
      <c r="H570" s="35"/>
      <c r="I570" s="35"/>
      <c r="J570" s="35"/>
      <c r="K570" s="35"/>
      <c r="L570" s="35"/>
      <c r="M570" s="35"/>
      <c r="N570" s="35"/>
    </row>
    <row r="571" spans="4:14" x14ac:dyDescent="0.2">
      <c r="D571" s="35"/>
      <c r="E571" s="35"/>
      <c r="F571" s="35"/>
      <c r="G571" s="35"/>
      <c r="H571" s="35"/>
      <c r="I571" s="35"/>
      <c r="J571" s="35"/>
      <c r="K571" s="35"/>
      <c r="L571" s="35"/>
      <c r="M571" s="35"/>
      <c r="N571" s="35"/>
    </row>
    <row r="572" spans="4:14" x14ac:dyDescent="0.2">
      <c r="D572" s="35"/>
      <c r="E572" s="35"/>
      <c r="F572" s="35"/>
      <c r="G572" s="35"/>
      <c r="H572" s="35"/>
      <c r="I572" s="35"/>
      <c r="J572" s="35"/>
      <c r="K572" s="35"/>
      <c r="L572" s="35"/>
      <c r="M572" s="35"/>
      <c r="N572" s="35"/>
    </row>
  </sheetData>
  <sheetProtection insertColumns="0" insertRows="0" selectLockedCells="1"/>
  <customSheetViews>
    <customSheetView guid="{CD0FB1B9-9E03-104C-B368-D7ADDBCA5E98}" showPageBreaks="1" fitToPage="1">
      <selection activeCell="Q19" sqref="Q19"/>
      <pageMargins left="0.7" right="0.7" top="0.75" bottom="0.75" header="0.3" footer="0.3"/>
      <printOptions horizontalCentered="1"/>
      <pageSetup scale="48" orientation="portrait"/>
      <headerFooter alignWithMargins="0">
        <oddHeader>&amp;C&amp;G</oddHeader>
      </headerFooter>
    </customSheetView>
  </customSheetViews>
  <mergeCells count="92">
    <mergeCell ref="C1:G1"/>
    <mergeCell ref="H1:I1"/>
    <mergeCell ref="K1:L1"/>
    <mergeCell ref="M1:N1"/>
    <mergeCell ref="G26:H26"/>
    <mergeCell ref="E26:F26"/>
    <mergeCell ref="C24:D24"/>
    <mergeCell ref="N19:Q19"/>
    <mergeCell ref="M26:N26"/>
    <mergeCell ref="M24:N24"/>
    <mergeCell ref="M25:N25"/>
    <mergeCell ref="C23:F23"/>
    <mergeCell ref="K26:L26"/>
    <mergeCell ref="O26:P26"/>
    <mergeCell ref="E24:F24"/>
    <mergeCell ref="K25:L25"/>
    <mergeCell ref="O24:P24"/>
    <mergeCell ref="O23:Q23"/>
    <mergeCell ref="O25:P25"/>
    <mergeCell ref="C25:D25"/>
    <mergeCell ref="K28:L28"/>
    <mergeCell ref="N18:Q18"/>
    <mergeCell ref="K27:N27"/>
    <mergeCell ref="A24:B29"/>
    <mergeCell ref="A23:B23"/>
    <mergeCell ref="A20:B20"/>
    <mergeCell ref="E25:F25"/>
    <mergeCell ref="I26:J26"/>
    <mergeCell ref="G25:H25"/>
    <mergeCell ref="I25:J25"/>
    <mergeCell ref="C27:F27"/>
    <mergeCell ref="C28:D28"/>
    <mergeCell ref="E28:F28"/>
    <mergeCell ref="G27:J27"/>
    <mergeCell ref="C26:D26"/>
    <mergeCell ref="G23:J23"/>
    <mergeCell ref="G24:H24"/>
    <mergeCell ref="N15:Q15"/>
    <mergeCell ref="A13:B13"/>
    <mergeCell ref="A14:B14"/>
    <mergeCell ref="A19:B19"/>
    <mergeCell ref="A16:B16"/>
    <mergeCell ref="A17:B17"/>
    <mergeCell ref="A15:B15"/>
    <mergeCell ref="A18:B18"/>
    <mergeCell ref="N16:Q16"/>
    <mergeCell ref="A32:B32"/>
    <mergeCell ref="H32:J32"/>
    <mergeCell ref="C29:D29"/>
    <mergeCell ref="E29:F29"/>
    <mergeCell ref="O28:P28"/>
    <mergeCell ref="O29:P29"/>
    <mergeCell ref="O30:P30"/>
    <mergeCell ref="G28:H28"/>
    <mergeCell ref="I28:J28"/>
    <mergeCell ref="M28:N28"/>
    <mergeCell ref="A3:B3"/>
    <mergeCell ref="A4:B4"/>
    <mergeCell ref="A9:B9"/>
    <mergeCell ref="D37:M37"/>
    <mergeCell ref="A33:B33"/>
    <mergeCell ref="D33:F33"/>
    <mergeCell ref="H33:J33"/>
    <mergeCell ref="L33:N33"/>
    <mergeCell ref="A35:Q35"/>
    <mergeCell ref="O33:P33"/>
    <mergeCell ref="O31:P31"/>
    <mergeCell ref="O32:P32"/>
    <mergeCell ref="O27:P27"/>
    <mergeCell ref="L32:N32"/>
    <mergeCell ref="A31:N31"/>
    <mergeCell ref="D32:F32"/>
    <mergeCell ref="A21:B21"/>
    <mergeCell ref="I24:J24"/>
    <mergeCell ref="K24:L24"/>
    <mergeCell ref="A7:B7"/>
    <mergeCell ref="A12:B12"/>
    <mergeCell ref="A5:B5"/>
    <mergeCell ref="K23:L23"/>
    <mergeCell ref="M23:N23"/>
    <mergeCell ref="A10:B10"/>
    <mergeCell ref="A11:B11"/>
    <mergeCell ref="A1:B1"/>
    <mergeCell ref="A8:B8"/>
    <mergeCell ref="A6:B6"/>
    <mergeCell ref="A2:B2"/>
    <mergeCell ref="P1:Q1"/>
    <mergeCell ref="M5:M6"/>
    <mergeCell ref="Q5:Q6"/>
    <mergeCell ref="O5:O6"/>
    <mergeCell ref="P5:P6"/>
    <mergeCell ref="N5:N6"/>
  </mergeCells>
  <phoneticPr fontId="1" type="noConversion"/>
  <printOptions horizontalCentered="1"/>
  <pageMargins left="0.5" right="0.5" top="0.5" bottom="0.5" header="0.5" footer="0.5"/>
  <pageSetup scale="65" orientation="landscape" r:id="rId1"/>
  <headerFooter alignWithMargins="0"/>
  <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Client History</vt:lpstr>
    </vt:vector>
  </TitlesOfParts>
  <Company>ConferenceDirect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Green</dc:creator>
  <cp:lastModifiedBy>Peter Wann</cp:lastModifiedBy>
  <cp:lastPrinted>2014-04-16T20:23:41Z</cp:lastPrinted>
  <dcterms:created xsi:type="dcterms:W3CDTF">2007-06-06T17:08:20Z</dcterms:created>
  <dcterms:modified xsi:type="dcterms:W3CDTF">2026-03-17T21:28:57Z</dcterms:modified>
</cp:coreProperties>
</file>